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单问询表" sheetId="1" state="visible" r:id="rId1"/>
    <sheet xmlns:r="http://schemas.openxmlformats.org/officeDocument/2006/relationships" name="客户回填版" sheetId="2" state="visible" r:id="rId2"/>
    <sheet xmlns:r="http://schemas.openxmlformats.org/officeDocument/2006/relationships" name="汇总判断" sheetId="3" state="visible" r:id="rId3"/>
  </sheets>
  <definedNames>
    <definedName name="_xlnm._FilterDatabase" localSheetId="0" hidden="1">'接单问询表'!$A$3:$H$68</definedName>
    <definedName name="_xlnm.Print_Titles" localSheetId="0">'接单问询表'!$1:$3</definedName>
    <definedName name="_xlnm.Print_Titles" localSheetId="1">'客户回填版'!$1:$3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6B665E"/>
      <sz val="9"/>
    </font>
    <font>
      <name val="微软雅黑"/>
      <b val="1"/>
      <color rgb="00FFFFFF"/>
      <sz val="10"/>
    </font>
    <font>
      <name val="微软雅黑"/>
      <color rgb="00333333"/>
      <sz val="9.5"/>
    </font>
    <font>
      <name val="微软雅黑"/>
      <b val="1"/>
      <color rgb="00E04B1A"/>
      <sz val="9.5"/>
    </font>
    <font>
      <name val="微软雅黑"/>
      <b val="1"/>
      <color rgb="001A1A1A"/>
      <sz val="9.5"/>
    </font>
    <font>
      <name val="微软雅黑"/>
      <b val="1"/>
      <color rgb="00333333"/>
      <sz val="9.5"/>
    </font>
    <font>
      <name val="微软雅黑"/>
      <b val="1"/>
      <color rgb="00FFFFFF"/>
      <sz val="15"/>
    </font>
    <font>
      <name val="微软雅黑"/>
      <color rgb="006B665E"/>
      <sz val="9.5"/>
    </font>
    <font>
      <name val="微软雅黑"/>
      <color rgb="00333333"/>
      <sz val="10"/>
    </font>
    <font>
      <name val="微软雅黑"/>
      <b val="1"/>
      <color rgb="00E04B1A"/>
      <sz val="10"/>
    </font>
    <font>
      <name val="微软雅黑"/>
      <b val="1"/>
      <color rgb="00333333"/>
      <sz val="10"/>
    </font>
    <font>
      <name val="微软雅黑"/>
      <b val="1"/>
      <color rgb="001A1A1A"/>
      <sz val="10"/>
    </font>
    <font>
      <name val="微软雅黑"/>
      <b val="1"/>
      <color rgb="001A1A1A"/>
      <sz val="11"/>
    </font>
    <font>
      <name val="微软雅黑"/>
      <b val="1"/>
      <color rgb="00B3261E"/>
      <sz val="11"/>
    </font>
    <font>
      <name val="微软雅黑"/>
      <color rgb="004A463F"/>
      <sz val="9.5"/>
    </font>
  </fonts>
  <fills count="1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1E8"/>
      </patternFill>
    </fill>
    <fill>
      <patternFill patternType="solid">
        <fgColor rgb="00F7F6F2"/>
      </patternFill>
    </fill>
    <fill>
      <patternFill patternType="solid">
        <fgColor rgb="00EAF1FA"/>
      </patternFill>
    </fill>
    <fill>
      <patternFill patternType="solid">
        <fgColor rgb="00EAF6EF"/>
      </patternFill>
    </fill>
    <fill>
      <patternFill patternType="solid">
        <fgColor rgb="00F2EEF9"/>
      </patternFill>
    </fill>
    <fill>
      <patternFill patternType="solid">
        <fgColor rgb="00FDF4E3"/>
      </patternFill>
    </fill>
    <fill>
      <patternFill patternType="solid">
        <fgColor rgb="00E9F6F1"/>
      </patternFill>
    </fill>
    <fill>
      <patternFill patternType="solid">
        <fgColor rgb="00EDF0FB"/>
      </patternFill>
    </fill>
    <fill>
      <patternFill patternType="solid">
        <fgColor rgb="00E8F4F8"/>
      </patternFill>
    </fill>
    <fill>
      <patternFill patternType="solid">
        <fgColor rgb="00F5EEF2"/>
      </patternFill>
    </fill>
    <fill>
      <patternFill patternType="solid">
        <fgColor rgb="00FFF3E6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E2DED6"/>
      </left>
      <right style="thin">
        <color rgb="00E2DED6"/>
      </right>
      <top style="thin">
        <color rgb="00E2DED6"/>
      </top>
      <bottom style="thin">
        <color rgb="00E2DED6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top"/>
    </xf>
    <xf numFmtId="0" fontId="6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top"/>
    </xf>
    <xf numFmtId="0" fontId="6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top"/>
    </xf>
    <xf numFmtId="0" fontId="6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top"/>
    </xf>
    <xf numFmtId="0" fontId="6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top"/>
    </xf>
    <xf numFmtId="0" fontId="6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top"/>
    </xf>
    <xf numFmtId="0" fontId="6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top"/>
    </xf>
    <xf numFmtId="0" fontId="6" fillId="12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4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top"/>
    </xf>
    <xf numFmtId="0" fontId="6" fillId="13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4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top"/>
    </xf>
    <xf numFmtId="0" fontId="6" fillId="14" borderId="1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  <xf numFmtId="0" fontId="4" fillId="14" borderId="1" applyAlignment="1" pivotButton="0" quotePrefix="0" xfId="0">
      <alignment horizontal="center" vertical="center"/>
    </xf>
    <xf numFmtId="0" fontId="8" fillId="2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top"/>
    </xf>
    <xf numFmtId="0" fontId="10" fillId="3" borderId="1" applyAlignment="1" pivotButton="0" quotePrefix="0" xfId="0">
      <alignment vertical="top" wrapText="1"/>
    </xf>
    <xf numFmtId="0" fontId="12" fillId="4" borderId="1" applyAlignment="1" pivotButton="0" quotePrefix="0" xfId="0">
      <alignment horizontal="center" vertical="top"/>
    </xf>
    <xf numFmtId="0" fontId="10" fillId="4" borderId="1" applyAlignment="1" pivotButton="0" quotePrefix="0" xfId="0">
      <alignment vertical="top" wrapText="1"/>
    </xf>
    <xf numFmtId="0" fontId="12" fillId="5" borderId="1" applyAlignment="1" pivotButton="0" quotePrefix="0" xfId="0">
      <alignment horizontal="center" vertical="top"/>
    </xf>
    <xf numFmtId="0" fontId="10" fillId="5" borderId="1" applyAlignment="1" pivotButton="0" quotePrefix="0" xfId="0">
      <alignment vertical="top" wrapText="1"/>
    </xf>
    <xf numFmtId="0" fontId="12" fillId="6" borderId="1" applyAlignment="1" pivotButton="0" quotePrefix="0" xfId="0">
      <alignment horizontal="center" vertical="top"/>
    </xf>
    <xf numFmtId="0" fontId="10" fillId="6" borderId="1" applyAlignment="1" pivotButton="0" quotePrefix="0" xfId="0">
      <alignment vertical="top" wrapText="1"/>
    </xf>
    <xf numFmtId="0" fontId="12" fillId="7" borderId="1" applyAlignment="1" pivotButton="0" quotePrefix="0" xfId="0">
      <alignment horizontal="center" vertical="top"/>
    </xf>
    <xf numFmtId="0" fontId="10" fillId="7" borderId="1" applyAlignment="1" pivotButton="0" quotePrefix="0" xfId="0">
      <alignment vertical="top" wrapText="1"/>
    </xf>
    <xf numFmtId="0" fontId="12" fillId="8" borderId="1" applyAlignment="1" pivotButton="0" quotePrefix="0" xfId="0">
      <alignment horizontal="center" vertical="top"/>
    </xf>
    <xf numFmtId="0" fontId="10" fillId="8" borderId="1" applyAlignment="1" pivotButton="0" quotePrefix="0" xfId="0">
      <alignment vertical="top" wrapText="1"/>
    </xf>
    <xf numFmtId="0" fontId="12" fillId="9" borderId="1" applyAlignment="1" pivotButton="0" quotePrefix="0" xfId="0">
      <alignment horizontal="center" vertical="top"/>
    </xf>
    <xf numFmtId="0" fontId="10" fillId="9" borderId="1" applyAlignment="1" pivotButton="0" quotePrefix="0" xfId="0">
      <alignment vertical="top" wrapText="1"/>
    </xf>
    <xf numFmtId="0" fontId="12" fillId="10" borderId="1" applyAlignment="1" pivotButton="0" quotePrefix="0" xfId="0">
      <alignment horizontal="center" vertical="top"/>
    </xf>
    <xf numFmtId="0" fontId="10" fillId="10" borderId="1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top"/>
    </xf>
    <xf numFmtId="0" fontId="10" fillId="11" borderId="1" applyAlignment="1" pivotButton="0" quotePrefix="0" xfId="0">
      <alignment vertical="top" wrapText="1"/>
    </xf>
    <xf numFmtId="0" fontId="12" fillId="12" borderId="1" applyAlignment="1" pivotButton="0" quotePrefix="0" xfId="0">
      <alignment horizontal="center" vertical="top"/>
    </xf>
    <xf numFmtId="0" fontId="10" fillId="12" borderId="1" applyAlignment="1" pivotButton="0" quotePrefix="0" xfId="0">
      <alignment vertical="top" wrapText="1"/>
    </xf>
    <xf numFmtId="0" fontId="13" fillId="4" borderId="1" pivotButton="0" quotePrefix="0" xfId="0"/>
    <xf numFmtId="0" fontId="14" fillId="0" borderId="1" applyAlignment="1" pivotButton="0" quotePrefix="0" xfId="0">
      <alignment horizontal="center"/>
    </xf>
    <xf numFmtId="0" fontId="3" fillId="2" borderId="1" pivotButton="0" quotePrefix="0" xfId="0"/>
    <xf numFmtId="0" fontId="15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微软雅黑"/>
        <b val="1"/>
        <color rgb="00B3261E"/>
      </font>
      <fill>
        <patternFill patternType="solid">
          <fgColor rgb="00FBE0DC"/>
          <bgColor rgb="00FBE0DC"/>
        </patternFill>
      </fill>
    </dxf>
    <dxf>
      <font>
        <name val="微软雅黑"/>
        <color rgb="008A5A00"/>
      </font>
      <fill>
        <patternFill patternType="solid">
          <fgColor rgb="00FDF2DC"/>
          <bgColor rgb="00FDF2DC"/>
        </patternFill>
      </fill>
    </dxf>
    <dxf>
      <font>
        <name val="微软雅黑"/>
        <color rgb="001E6B33"/>
      </font>
      <fill>
        <patternFill patternType="solid">
          <fgColor rgb="00E7F4EA"/>
          <bgColor rgb="00E7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00E04B1A"/>
    <outlinePr summaryBelow="1" summaryRight="1"/>
    <pageSetUpPr fitToPage="1"/>
  </sheetPr>
  <dimension ref="A1:H68"/>
  <sheetViews>
    <sheetView zoomScale="10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46" customWidth="1" min="3" max="3"/>
    <col width="40" customWidth="1" min="4" max="4"/>
    <col width="11" customWidth="1" min="5" max="5"/>
    <col width="34" customWidth="1" min="6" max="6"/>
    <col width="11" customWidth="1" min="7" max="7"/>
    <col width="30" customWidth="1" min="8" max="8"/>
  </cols>
  <sheetData>
    <row r="1" ht="36" customHeight="1">
      <c r="A1" s="1" t="inlineStr">
        <is>
          <t>接单问询表 · 逐项打勾，问全再报价</t>
        </is>
      </c>
    </row>
    <row r="2" ht="30" customHeight="1">
      <c r="A2" s="2" t="inlineStr">
        <is>
          <t>用法：报价前逐行问，客户答完在 F 列记录，“是/否/待补”在 E 列选，“通过/有条件/不通过”在 G 列选。G 列出现“不通过”，或 E 列还有“否”，就先别报价。判定要点一栏别发给客户。</t>
        </is>
      </c>
    </row>
    <row r="3" ht="42" customHeight="1">
      <c r="A3" s="3" t="inlineStr">
        <is>
          <t>编号</t>
        </is>
      </c>
      <c r="B3" s="3" t="inlineStr">
        <is>
          <t>类别</t>
        </is>
      </c>
      <c r="C3" s="3" t="inlineStr">
        <is>
          <t>必问问题</t>
        </is>
      </c>
      <c r="D3" s="3" t="inlineStr">
        <is>
          <t>判定要点（问到什么算合格）</t>
        </is>
      </c>
      <c r="E3" s="3" t="inlineStr">
        <is>
          <t>是否已问</t>
        </is>
      </c>
      <c r="F3" s="3" t="inlineStr">
        <is>
          <t>客户回答</t>
        </is>
      </c>
      <c r="G3" s="3" t="inlineStr">
        <is>
          <t>结论</t>
        </is>
      </c>
      <c r="H3" s="3" t="inlineStr">
        <is>
          <t>风险 / 备注</t>
        </is>
      </c>
    </row>
    <row r="4" ht="35" customHeight="1">
      <c r="A4" s="4" t="inlineStr">
        <is>
          <t>G1</t>
        </is>
      </c>
      <c r="B4" s="5" t="inlineStr">
        <is>
          <t>闸门</t>
        </is>
      </c>
      <c r="C4" s="6" t="inlineStr">
        <is>
          <t>这个软件最终跑在什么系统上？版本号多少（如 Win10 22H2 / Ubuntu 22.04）？</t>
        </is>
      </c>
      <c r="D4" s="6" t="inlineStr">
        <is>
          <t>能给出确切系统与版本号</t>
        </is>
      </c>
      <c r="E4" s="7" t="inlineStr">
        <is>
          <t>否</t>
        </is>
      </c>
      <c r="F4" s="6" t="inlineStr"/>
      <c r="G4" s="7" t="inlineStr">
        <is>
          <t>待定</t>
        </is>
      </c>
      <c r="H4" s="6" t="inlineStr">
        <is>
          <t>答“普通电脑”＝不能复现，别报</t>
        </is>
      </c>
    </row>
    <row r="5" ht="35" customHeight="1">
      <c r="A5" s="4" t="inlineStr">
        <is>
          <t>G2</t>
        </is>
      </c>
      <c r="B5" s="5" t="inlineStr">
        <is>
          <t>闸门</t>
        </is>
      </c>
      <c r="C5" s="6" t="inlineStr">
        <is>
          <t>有输入样例、接口文档、测试环境或源码吗？能先发我一份吗？</t>
        </is>
      </c>
      <c r="D5" s="6" t="inlineStr">
        <is>
          <t>至少拿到其中一样实物</t>
        </is>
      </c>
      <c r="E5" s="7" t="inlineStr">
        <is>
          <t>否</t>
        </is>
      </c>
      <c r="F5" s="6" t="inlineStr"/>
      <c r="G5" s="7" t="inlineStr">
        <is>
          <t>待定</t>
        </is>
      </c>
      <c r="H5" s="6" t="inlineStr">
        <is>
          <t>只有一句需求 → 先补材料</t>
        </is>
      </c>
    </row>
    <row r="6" ht="30" customHeight="1">
      <c r="A6" s="4" t="inlineStr">
        <is>
          <t>G3</t>
        </is>
      </c>
      <c r="B6" s="5" t="inlineStr">
        <is>
          <t>闸门</t>
        </is>
      </c>
      <c r="C6" s="6" t="inlineStr">
        <is>
          <t>做到什么样算完成？最后谁来确认？</t>
        </is>
      </c>
      <c r="D6" s="6" t="inlineStr">
        <is>
          <t>能说出可验证的结果并指明确认人</t>
        </is>
      </c>
      <c r="E6" s="7" t="inlineStr">
        <is>
          <t>否</t>
        </is>
      </c>
      <c r="F6" s="6" t="inlineStr"/>
      <c r="G6" s="7" t="inlineStr">
        <is>
          <t>待定</t>
        </is>
      </c>
      <c r="H6" s="6" t="inlineStr">
        <is>
          <t>口径说不清，做完必扯皮</t>
        </is>
      </c>
    </row>
    <row r="7" ht="35" customHeight="1">
      <c r="A7" s="8" t="inlineStr">
        <is>
          <t>T1</t>
        </is>
      </c>
      <c r="B7" s="9" t="inlineStr">
        <is>
          <t>通用</t>
        </is>
      </c>
      <c r="C7" s="10" t="inlineStr">
        <is>
          <t>这套东西跑在哪：个人电脑、公司电脑、服务器还是云主机？有外网吗？</t>
        </is>
      </c>
      <c r="D7" s="10" t="inlineStr">
        <is>
          <t>明确部署位置与网络条件</t>
        </is>
      </c>
      <c r="E7" s="11" t="inlineStr">
        <is>
          <t>否</t>
        </is>
      </c>
      <c r="F7" s="10" t="inlineStr"/>
      <c r="G7" s="11" t="inlineStr">
        <is>
          <t>待定</t>
        </is>
      </c>
      <c r="H7" s="10" t="inlineStr">
        <is>
          <t>内网无外网会卡在装依赖</t>
        </is>
      </c>
    </row>
    <row r="8" ht="35" customHeight="1">
      <c r="A8" s="8" t="inlineStr">
        <is>
          <t>T2</t>
        </is>
      </c>
      <c r="B8" s="9" t="inlineStr">
        <is>
          <t>通用</t>
        </is>
      </c>
      <c r="C8" s="10" t="inlineStr">
        <is>
          <t>几个人用？一天用几次？是固定流程还是临时用一次？</t>
        </is>
      </c>
      <c r="D8" s="10" t="inlineStr">
        <is>
          <t>人数与频率说得出来</t>
        </is>
      </c>
      <c r="E8" s="11" t="inlineStr">
        <is>
          <t>否</t>
        </is>
      </c>
      <c r="F8" s="10" t="inlineStr"/>
      <c r="G8" s="11" t="inlineStr">
        <is>
          <t>待定</t>
        </is>
      </c>
      <c r="H8" s="10" t="inlineStr">
        <is>
          <t>临时用一次的单，按天报价更稳</t>
        </is>
      </c>
    </row>
    <row r="9" ht="30" customHeight="1">
      <c r="A9" s="8" t="inlineStr">
        <is>
          <t>T3</t>
        </is>
      </c>
      <c r="B9" s="9" t="inlineStr">
        <is>
          <t>通用</t>
        </is>
      </c>
      <c r="C9" s="10" t="inlineStr">
        <is>
          <t>现在这件事你们具体怎么做？能给截图或录屏吗？</t>
        </is>
      </c>
      <c r="D9" s="10" t="inlineStr">
        <is>
          <t>拿到真实操作画面</t>
        </is>
      </c>
      <c r="E9" s="11" t="inlineStr">
        <is>
          <t>否</t>
        </is>
      </c>
      <c r="F9" s="10" t="inlineStr"/>
      <c r="G9" s="11" t="inlineStr">
        <is>
          <t>待定</t>
        </is>
      </c>
      <c r="H9" s="10" t="inlineStr">
        <is>
          <t>只听描述，十有八九漏步骤</t>
        </is>
      </c>
    </row>
    <row r="10" ht="30" customHeight="1">
      <c r="A10" s="8" t="inlineStr">
        <is>
          <t>T4</t>
        </is>
      </c>
      <c r="B10" s="9" t="inlineStr">
        <is>
          <t>通用</t>
        </is>
      </c>
      <c r="C10" s="10" t="inlineStr">
        <is>
          <t>给我一个真实的输入样例，一次大概多少条数据？</t>
        </is>
      </c>
      <c r="D10" s="10" t="inlineStr">
        <is>
          <t>拿到样例，并说清量级</t>
        </is>
      </c>
      <c r="E10" s="11" t="inlineStr">
        <is>
          <t>否</t>
        </is>
      </c>
      <c r="F10" s="10" t="inlineStr"/>
      <c r="G10" s="11" t="inlineStr">
        <is>
          <t>待定</t>
        </is>
      </c>
      <c r="H10" s="10" t="inlineStr">
        <is>
          <t>几十条与几万行是两个方案</t>
        </is>
      </c>
    </row>
    <row r="11" ht="35" customHeight="1">
      <c r="A11" s="8" t="inlineStr">
        <is>
          <t>T5</t>
        </is>
      </c>
      <c r="B11" s="9" t="inlineStr">
        <is>
          <t>通用</t>
        </is>
      </c>
      <c r="C11" s="10" t="inlineStr">
        <is>
          <t>最后要得到什么：文件、界面还是接口？有参考样式吗？</t>
        </is>
      </c>
      <c r="D11" s="10" t="inlineStr">
        <is>
          <t>有目标样式或截图</t>
        </is>
      </c>
      <c r="E11" s="11" t="inlineStr">
        <is>
          <t>否</t>
        </is>
      </c>
      <c r="F11" s="10" t="inlineStr"/>
      <c r="G11" s="11" t="inlineStr">
        <is>
          <t>待定</t>
        </is>
      </c>
      <c r="H11" s="10" t="inlineStr">
        <is>
          <t>没有参考，交付后容易被挑</t>
        </is>
      </c>
    </row>
    <row r="12" ht="35" customHeight="1">
      <c r="A12" s="8" t="inlineStr">
        <is>
          <t>T6</t>
        </is>
      </c>
      <c r="B12" s="9" t="inlineStr">
        <is>
          <t>通用</t>
        </is>
      </c>
      <c r="C12" s="10" t="inlineStr">
        <is>
          <t>数据缺失、格式不统一、中途报错时，希望程序怎么处理？</t>
        </is>
      </c>
      <c r="D12" s="10" t="inlineStr">
        <is>
          <t>给出明确处理方式</t>
        </is>
      </c>
      <c r="E12" s="11" t="inlineStr">
        <is>
          <t>否</t>
        </is>
      </c>
      <c r="F12" s="10" t="inlineStr"/>
      <c r="G12" s="11" t="inlineStr">
        <is>
          <t>待定</t>
        </is>
      </c>
      <c r="H12" s="10" t="inlineStr">
        <is>
          <t>不问清楚，异常处理全靠猜</t>
        </is>
      </c>
    </row>
    <row r="13" ht="30" customHeight="1">
      <c r="A13" s="8" t="inlineStr">
        <is>
          <t>T7</t>
        </is>
      </c>
      <c r="B13" s="9" t="inlineStr">
        <is>
          <t>通用</t>
        </is>
      </c>
      <c r="C13" s="10" t="inlineStr">
        <is>
          <t>什么时候要用？有没有硬截止？验收由谁点头？</t>
        </is>
      </c>
      <c r="D13" s="10" t="inlineStr">
        <is>
          <t>有日期和验收人</t>
        </is>
      </c>
      <c r="E13" s="11" t="inlineStr">
        <is>
          <t>否</t>
        </is>
      </c>
      <c r="F13" s="10" t="inlineStr"/>
      <c r="G13" s="11" t="inlineStr">
        <is>
          <t>待定</t>
        </is>
      </c>
      <c r="H13" s="10" t="inlineStr">
        <is>
          <t>时间不可控的单，报价要加缓冲</t>
        </is>
      </c>
    </row>
    <row r="14" ht="30" customHeight="1">
      <c r="A14" s="8" t="inlineStr">
        <is>
          <t>T8</t>
        </is>
      </c>
      <c r="B14" s="9" t="inlineStr">
        <is>
          <t>通用</t>
        </is>
      </c>
      <c r="C14" s="10" t="inlineStr">
        <is>
          <t>预算大概什么区间？</t>
        </is>
      </c>
      <c r="D14" s="10" t="inlineStr">
        <is>
          <t>先拿到区间，再谈方案</t>
        </is>
      </c>
      <c r="E14" s="11" t="inlineStr">
        <is>
          <t>否</t>
        </is>
      </c>
      <c r="F14" s="10" t="inlineStr"/>
      <c r="G14" s="11" t="inlineStr">
        <is>
          <t>待定</t>
        </is>
      </c>
      <c r="H14" s="10" t="inlineStr">
        <is>
          <t>方案做完才发现差一个量级</t>
        </is>
      </c>
    </row>
    <row r="15" ht="35" customHeight="1">
      <c r="A15" s="12" t="inlineStr">
        <is>
          <t>W1</t>
        </is>
      </c>
      <c r="B15" s="13" t="inlineStr">
        <is>
          <t>Windows 桌面</t>
        </is>
      </c>
      <c r="C15" s="14" t="inlineStr">
        <is>
          <t>系统是 Win10 还是 Win11？还要兼容 Win7 吗？</t>
        </is>
      </c>
      <c r="D15" s="14" t="inlineStr">
        <is>
          <t>明确版本；兼容 Win7 需另选技术栈</t>
        </is>
      </c>
      <c r="E15" s="15" t="inlineStr">
        <is>
          <t>否</t>
        </is>
      </c>
      <c r="F15" s="14" t="inlineStr"/>
      <c r="G15" s="15" t="inlineStr">
        <is>
          <t>待定</t>
        </is>
      </c>
      <c r="H15" s="14" t="inlineStr">
        <is>
          <t>Win7 兼容往往要换框架，成本翻倍</t>
        </is>
      </c>
    </row>
    <row r="16" ht="35" customHeight="1">
      <c r="A16" s="12" t="inlineStr">
        <is>
          <t>W2</t>
        </is>
      </c>
      <c r="B16" s="13" t="inlineStr">
        <is>
          <t>Windows 桌面</t>
        </is>
      </c>
      <c r="C16" s="14" t="inlineStr">
        <is>
          <t>需要支持 32 位系统吗？</t>
        </is>
      </c>
      <c r="D16" s="14" t="inlineStr">
        <is>
          <t>明确位数</t>
        </is>
      </c>
      <c r="E16" s="15" t="inlineStr">
        <is>
          <t>否</t>
        </is>
      </c>
      <c r="F16" s="14" t="inlineStr"/>
      <c r="G16" s="15" t="inlineStr">
        <is>
          <t>待定</t>
        </is>
      </c>
      <c r="H16" s="14" t="inlineStr">
        <is>
          <t>32 位要单独打包，别默认只出 64 位</t>
        </is>
      </c>
    </row>
    <row r="17" ht="35" customHeight="1">
      <c r="A17" s="12" t="inlineStr">
        <is>
          <t>W3</t>
        </is>
      </c>
      <c r="B17" s="13" t="inlineStr">
        <is>
          <t>Windows 桌面</t>
        </is>
      </c>
      <c r="C17" s="14" t="inlineStr">
        <is>
          <t>客户电脑能装软件吗？有杀毒、域控或禁止安装的限制吗？要管理员权限吗？</t>
        </is>
      </c>
      <c r="D17" s="14" t="inlineStr">
        <is>
          <t>确认安装策略与权限</t>
        </is>
      </c>
      <c r="E17" s="15" t="inlineStr">
        <is>
          <t>否</t>
        </is>
      </c>
      <c r="F17" s="14" t="inlineStr"/>
      <c r="G17" s="15" t="inlineStr">
        <is>
          <t>待定</t>
        </is>
      </c>
      <c r="H17" s="14" t="inlineStr">
        <is>
          <t>杀毒误报、策略禁装是最常见的装不上</t>
        </is>
      </c>
    </row>
    <row r="18" ht="35" customHeight="1">
      <c r="A18" s="12" t="inlineStr">
        <is>
          <t>W4</t>
        </is>
      </c>
      <c r="B18" s="13" t="inlineStr">
        <is>
          <t>Windows 桌面</t>
        </is>
      </c>
      <c r="C18" s="14" t="inlineStr">
        <is>
          <t>需要图形界面吗？有参考样式吗？单机用还是多台共用数据？</t>
        </is>
      </c>
      <c r="D18" s="14" t="inlineStr">
        <is>
          <t>界面要求与数据范围明确</t>
        </is>
      </c>
      <c r="E18" s="15" t="inlineStr">
        <is>
          <t>否</t>
        </is>
      </c>
      <c r="F18" s="14" t="inlineStr"/>
      <c r="G18" s="15" t="inlineStr">
        <is>
          <t>待定</t>
        </is>
      </c>
      <c r="H18" s="14" t="inlineStr">
        <is>
          <t>共用数据就要考虑库或服务端</t>
        </is>
      </c>
    </row>
    <row r="19" ht="35" customHeight="1">
      <c r="A19" s="12" t="inlineStr">
        <is>
          <t>W5</t>
        </is>
      </c>
      <c r="B19" s="13" t="inlineStr">
        <is>
          <t>Windows 桌面</t>
        </is>
      </c>
      <c r="C19" s="14" t="inlineStr">
        <is>
          <t>数据存在哪：本地文件、本地数据库，还是连服务器？</t>
        </is>
      </c>
      <c r="D19" s="14" t="inlineStr">
        <is>
          <t>明确存储方式</t>
        </is>
      </c>
      <c r="E19" s="15" t="inlineStr">
        <is>
          <t>否</t>
        </is>
      </c>
      <c r="F19" s="14" t="inlineStr"/>
      <c r="G19" s="15" t="inlineStr">
        <is>
          <t>待定</t>
        </is>
      </c>
      <c r="H19" s="14" t="inlineStr">
        <is>
          <t>涉及服务器就要另算部署</t>
        </is>
      </c>
    </row>
    <row r="20" ht="30" customHeight="1">
      <c r="A20" s="12" t="inlineStr">
        <is>
          <t>W6</t>
        </is>
      </c>
      <c r="B20" s="13" t="inlineStr">
        <is>
          <t>Windows 桌面</t>
        </is>
      </c>
      <c r="C20" s="14" t="inlineStr">
        <is>
          <t>交付要安装包还是绿色免安装？装的时候谁配合？</t>
        </is>
      </c>
      <c r="D20" s="14" t="inlineStr">
        <is>
          <t>交付形态与安装责任人明确</t>
        </is>
      </c>
      <c r="E20" s="15" t="inlineStr">
        <is>
          <t>否</t>
        </is>
      </c>
      <c r="F20" s="14" t="inlineStr"/>
      <c r="G20" s="15" t="inlineStr">
        <is>
          <t>待定</t>
        </is>
      </c>
      <c r="H20" s="14" t="inlineStr">
        <is>
          <t>写成“不含上门安装”最稳</t>
        </is>
      </c>
    </row>
    <row r="21" ht="35" customHeight="1">
      <c r="A21" s="16" t="inlineStr">
        <is>
          <t>L1</t>
        </is>
      </c>
      <c r="B21" s="17" t="inlineStr">
        <is>
          <t>Linux 发行版</t>
        </is>
      </c>
      <c r="C21" s="18" t="inlineStr">
        <is>
          <t>用哪个发行版、哪个版本？（Ubuntu 20/22/24、Debian 11/12、CentOS 7、Arch）</t>
        </is>
      </c>
      <c r="D21" s="18" t="inlineStr">
        <is>
          <t>版本号具体到小数点后一位</t>
        </is>
      </c>
      <c r="E21" s="19" t="inlineStr">
        <is>
          <t>否</t>
        </is>
      </c>
      <c r="F21" s="18" t="inlineStr"/>
      <c r="G21" s="19" t="inlineStr">
        <is>
          <t>待定</t>
        </is>
      </c>
      <c r="H21" s="18" t="inlineStr">
        <is>
          <t>CentOS 7 的 glibc 太老，新版运行时上不去</t>
        </is>
      </c>
    </row>
    <row r="22" ht="30" customHeight="1">
      <c r="A22" s="16" t="inlineStr">
        <is>
          <t>L2</t>
        </is>
      </c>
      <c r="B22" s="17" t="inlineStr">
        <is>
          <t>Linux 发行版</t>
        </is>
      </c>
      <c r="C22" s="18" t="inlineStr">
        <is>
          <t>CPU 是 x86_64 还是 ARM？</t>
        </is>
      </c>
      <c r="D22" s="18" t="inlineStr">
        <is>
          <t>明确架构</t>
        </is>
      </c>
      <c r="E22" s="19" t="inlineStr">
        <is>
          <t>否</t>
        </is>
      </c>
      <c r="F22" s="18" t="inlineStr"/>
      <c r="G22" s="19" t="inlineStr">
        <is>
          <t>待定</t>
        </is>
      </c>
      <c r="H22" s="18" t="inlineStr">
        <is>
          <t>ARM 要单独构建与测试</t>
        </is>
      </c>
    </row>
    <row r="23" ht="30" customHeight="1">
      <c r="A23" s="16" t="inlineStr">
        <is>
          <t>L3</t>
        </is>
      </c>
      <c r="B23" s="17" t="inlineStr">
        <is>
          <t>Linux 发行版</t>
        </is>
      </c>
      <c r="C23" s="18" t="inlineStr">
        <is>
          <t>要命令行、systemd 常驻服务，还是 Docker？</t>
        </is>
      </c>
      <c r="D23" s="18" t="inlineStr">
        <is>
          <t>明确运行方式</t>
        </is>
      </c>
      <c r="E23" s="19" t="inlineStr">
        <is>
          <t>否</t>
        </is>
      </c>
      <c r="F23" s="18" t="inlineStr"/>
      <c r="G23" s="19" t="inlineStr">
        <is>
          <t>待定</t>
        </is>
      </c>
      <c r="H23" s="18" t="inlineStr">
        <is>
          <t>常驻服务要考虑日志与自启</t>
        </is>
      </c>
    </row>
    <row r="24" ht="35" customHeight="1">
      <c r="A24" s="16" t="inlineStr">
        <is>
          <t>L4</t>
        </is>
      </c>
      <c r="B24" s="17" t="inlineStr">
        <is>
          <t>Linux 发行版</t>
        </is>
      </c>
      <c r="C24" s="18" t="inlineStr">
        <is>
          <t>这台机器能联网装依赖吗？内网离线的话有本地源或镜像吗？</t>
        </is>
      </c>
      <c r="D24" s="18" t="inlineStr">
        <is>
          <t>确认能否取包</t>
        </is>
      </c>
      <c r="E24" s="19" t="inlineStr">
        <is>
          <t>否</t>
        </is>
      </c>
      <c r="F24" s="18" t="inlineStr"/>
      <c r="G24" s="19" t="inlineStr">
        <is>
          <t>待定</t>
        </is>
      </c>
      <c r="H24" s="18" t="inlineStr">
        <is>
          <t>离线是最常见的卡点</t>
        </is>
      </c>
    </row>
    <row r="25" ht="35" customHeight="1">
      <c r="A25" s="16" t="inlineStr">
        <is>
          <t>L5</t>
        </is>
      </c>
      <c r="B25" s="17" t="inlineStr">
        <is>
          <t>Linux 发行版</t>
        </is>
      </c>
      <c r="C25" s="18" t="inlineStr">
        <is>
          <t>有 root 权限吗？有 SELinux、防火墙或堡垒机限制吗？</t>
        </is>
      </c>
      <c r="D25" s="18" t="inlineStr">
        <is>
          <t>确认权限与安全策略</t>
        </is>
      </c>
      <c r="E25" s="19" t="inlineStr">
        <is>
          <t>否</t>
        </is>
      </c>
      <c r="F25" s="18" t="inlineStr"/>
      <c r="G25" s="19" t="inlineStr">
        <is>
          <t>待定</t>
        </is>
      </c>
      <c r="H25" s="18" t="inlineStr">
        <is>
          <t>SELinux 会让程序跑不起来</t>
        </is>
      </c>
    </row>
    <row r="26" ht="30" customHeight="1">
      <c r="A26" s="20" t="inlineStr">
        <is>
          <t>S1</t>
        </is>
      </c>
      <c r="B26" s="21" t="inlineStr">
        <is>
          <t>脚本自动化</t>
        </is>
      </c>
      <c r="C26" s="22" t="inlineStr">
        <is>
          <t>是手动运行还是定时？定时的话多久一次？</t>
        </is>
      </c>
      <c r="D26" s="22" t="inlineStr">
        <is>
          <t>明确触发方式与频率</t>
        </is>
      </c>
      <c r="E26" s="23" t="inlineStr">
        <is>
          <t>否</t>
        </is>
      </c>
      <c r="F26" s="22" t="inlineStr"/>
      <c r="G26" s="23" t="inlineStr">
        <is>
          <t>待定</t>
        </is>
      </c>
      <c r="H26" s="22" t="inlineStr">
        <is>
          <t>定时要考虑机器是否常开</t>
        </is>
      </c>
    </row>
    <row r="27" ht="35" customHeight="1">
      <c r="A27" s="20" t="inlineStr">
        <is>
          <t>S2</t>
        </is>
      </c>
      <c r="B27" s="21" t="inlineStr">
        <is>
          <t>脚本自动化</t>
        </is>
      </c>
      <c r="C27" s="22" t="inlineStr">
        <is>
          <t>跑在谁的电脑或服务器上？电脑会关机或锁屏吗？关机时还需要继续跑吗？</t>
        </is>
      </c>
      <c r="D27" s="22" t="inlineStr">
        <is>
          <t>关机时仍要跑 → 做成常驻服务</t>
        </is>
      </c>
      <c r="E27" s="23" t="inlineStr">
        <is>
          <t>否</t>
        </is>
      </c>
      <c r="F27" s="22" t="inlineStr"/>
      <c r="G27" s="23" t="inlineStr">
        <is>
          <t>待定</t>
        </is>
      </c>
      <c r="H27" s="22" t="inlineStr">
        <is>
          <t>这一条决定方案与报价</t>
        </is>
      </c>
    </row>
    <row r="28" ht="30" customHeight="1">
      <c r="A28" s="20" t="inlineStr">
        <is>
          <t>S3</t>
        </is>
      </c>
      <c r="B28" s="21" t="inlineStr">
        <is>
          <t>脚本自动化</t>
        </is>
      </c>
      <c r="C28" s="22" t="inlineStr">
        <is>
          <t>输入文件从哪来、什么格式、一次多少条？</t>
        </is>
      </c>
      <c r="D28" s="22" t="inlineStr">
        <is>
          <t>拿到样例与量级</t>
        </is>
      </c>
      <c r="E28" s="23" t="inlineStr">
        <is>
          <t>否</t>
        </is>
      </c>
      <c r="F28" s="22" t="inlineStr"/>
      <c r="G28" s="23" t="inlineStr">
        <is>
          <t>待定</t>
        </is>
      </c>
      <c r="H28" s="22" t="inlineStr">
        <is>
          <t>文件被 Excel 占用是最常见报错</t>
        </is>
      </c>
    </row>
    <row r="29" ht="35" customHeight="1">
      <c r="A29" s="20" t="inlineStr">
        <is>
          <t>S4</t>
        </is>
      </c>
      <c r="B29" s="21" t="inlineStr">
        <is>
          <t>脚本自动化</t>
        </is>
      </c>
      <c r="C29" s="22" t="inlineStr">
        <is>
          <t>报错时跳过继续还是中断？要日志吗？要不要通知到邮件、微信或钉钉？</t>
        </is>
      </c>
      <c r="D29" s="22" t="inlineStr">
        <is>
          <t>明确异常策略与通知方式</t>
        </is>
      </c>
      <c r="E29" s="23" t="inlineStr">
        <is>
          <t>否</t>
        </is>
      </c>
      <c r="F29" s="22" t="inlineStr"/>
      <c r="G29" s="23" t="inlineStr">
        <is>
          <t>待定</t>
        </is>
      </c>
      <c r="H29" s="22" t="inlineStr">
        <is>
          <t>通知属于额外对接，单独报价</t>
        </is>
      </c>
    </row>
    <row r="30" ht="35" customHeight="1">
      <c r="A30" s="20" t="inlineStr">
        <is>
          <t>S5</t>
        </is>
      </c>
      <c r="B30" s="21" t="inlineStr">
        <is>
          <t>脚本自动化</t>
        </is>
      </c>
      <c r="C30" s="22" t="inlineStr">
        <is>
          <t>目标机器能装 Python / Node 吗？还是必须打成单文件 exe？</t>
        </is>
      </c>
      <c r="D30" s="22" t="inlineStr">
        <is>
          <t>明确运行环境</t>
        </is>
      </c>
      <c r="E30" s="23" t="inlineStr">
        <is>
          <t>否</t>
        </is>
      </c>
      <c r="F30" s="22" t="inlineStr"/>
      <c r="G30" s="23" t="inlineStr">
        <is>
          <t>待定</t>
        </is>
      </c>
      <c r="H30" s="22" t="inlineStr">
        <is>
          <t>不能装环境就打 exe，体积和兼容都要考虑</t>
        </is>
      </c>
    </row>
    <row r="31" ht="35" customHeight="1">
      <c r="A31" s="24" t="inlineStr">
        <is>
          <t>D1</t>
        </is>
      </c>
      <c r="B31" s="25" t="inlineStr">
        <is>
          <t>数据工具</t>
        </is>
      </c>
      <c r="C31" s="26" t="inlineStr">
        <is>
          <t>数据从哪来：公开网页、公开接口，还是你们内部系统？</t>
        </is>
      </c>
      <c r="D31" s="26" t="inlineStr">
        <is>
          <t>来源明确且可访问</t>
        </is>
      </c>
      <c r="E31" s="27" t="inlineStr">
        <is>
          <t>否</t>
        </is>
      </c>
      <c r="F31" s="26" t="inlineStr"/>
      <c r="G31" s="27" t="inlineStr">
        <is>
          <t>待定</t>
        </is>
      </c>
      <c r="H31" s="26" t="inlineStr">
        <is>
          <t>内部系统需要账号与授权</t>
        </is>
      </c>
    </row>
    <row r="32" ht="35" customHeight="1">
      <c r="A32" s="24" t="inlineStr">
        <is>
          <t>D2</t>
        </is>
      </c>
      <c r="B32" s="25" t="inlineStr">
        <is>
          <t>数据工具</t>
        </is>
      </c>
      <c r="C32" s="26" t="inlineStr">
        <is>
          <t>要哪几列、什么含义、什么格式？能给一张目标表格的样子吗？</t>
        </is>
      </c>
      <c r="D32" s="26" t="inlineStr">
        <is>
          <t>有目标表格样例</t>
        </is>
      </c>
      <c r="E32" s="27" t="inlineStr">
        <is>
          <t>否</t>
        </is>
      </c>
      <c r="F32" s="26" t="inlineStr"/>
      <c r="G32" s="27" t="inlineStr">
        <is>
          <t>待定</t>
        </is>
      </c>
      <c r="H32" s="26" t="inlineStr">
        <is>
          <t>字段含糊，做出来一定对不上</t>
        </is>
      </c>
    </row>
    <row r="33" ht="30" customHeight="1">
      <c r="A33" s="24" t="inlineStr">
        <is>
          <t>D3</t>
        </is>
      </c>
      <c r="B33" s="25" t="inlineStr">
        <is>
          <t>数据工具</t>
        </is>
      </c>
      <c r="C33" s="26" t="inlineStr">
        <is>
          <t>一次抓多少条、多久跑一次？能接受跑多久？</t>
        </is>
      </c>
      <c r="D33" s="26" t="inlineStr">
        <is>
          <t>量级与频率明确</t>
        </is>
      </c>
      <c r="E33" s="27" t="inlineStr">
        <is>
          <t>否</t>
        </is>
      </c>
      <c r="F33" s="26" t="inlineStr"/>
      <c r="G33" s="27" t="inlineStr">
        <is>
          <t>待定</t>
        </is>
      </c>
      <c r="H33" s="26" t="inlineStr">
        <is>
          <t>量大要分批，耗时会成倍增长</t>
        </is>
      </c>
    </row>
    <row r="34" ht="35" customHeight="1">
      <c r="A34" s="24" t="inlineStr">
        <is>
          <t>D4</t>
        </is>
      </c>
      <c r="B34" s="25" t="inlineStr">
        <is>
          <t>数据工具</t>
        </is>
      </c>
      <c r="C34" s="26" t="inlineStr">
        <is>
          <t>目标站有验证码、登录、限频或封 IP 吗？能接受慢速抓取吗？</t>
        </is>
      </c>
      <c r="D34" s="26" t="inlineStr">
        <is>
          <t>确认有无反爬</t>
        </is>
      </c>
      <c r="E34" s="27" t="inlineStr">
        <is>
          <t>否</t>
        </is>
      </c>
      <c r="F34" s="26" t="inlineStr"/>
      <c r="G34" s="27" t="inlineStr">
        <is>
          <t>待定</t>
        </is>
      </c>
      <c r="H34" s="26" t="inlineStr">
        <is>
          <t>有验证码基本做不稳，别硬接</t>
        </is>
      </c>
    </row>
    <row r="35" ht="35" customHeight="1">
      <c r="A35" s="24" t="inlineStr">
        <is>
          <t>D5</t>
        </is>
      </c>
      <c r="B35" s="25" t="inlineStr">
        <is>
          <t>数据工具</t>
        </is>
      </c>
      <c r="C35" s="26" t="inlineStr">
        <is>
          <t>输出成 Excel、CSV、数据库还是直接进报表？去重和清洗规则是什么？</t>
        </is>
      </c>
      <c r="D35" s="26" t="inlineStr">
        <is>
          <t>输出格式与清洗规则明确</t>
        </is>
      </c>
      <c r="E35" s="27" t="inlineStr">
        <is>
          <t>否</t>
        </is>
      </c>
      <c r="F35" s="26" t="inlineStr"/>
      <c r="G35" s="27" t="inlineStr">
        <is>
          <t>待定</t>
        </is>
      </c>
      <c r="H35" s="26" t="inlineStr">
        <is>
          <t>清洗规则不清，等于返工</t>
        </is>
      </c>
    </row>
    <row r="36" ht="30" customHeight="1">
      <c r="A36" s="24" t="inlineStr">
        <is>
          <t>D6</t>
        </is>
      </c>
      <c r="B36" s="25" t="inlineStr">
        <is>
          <t>数据工具</t>
        </is>
      </c>
      <c r="C36" s="26" t="inlineStr">
        <is>
          <t>要登录别人的账号，或者涉及个人信息吗？</t>
        </is>
      </c>
      <c r="D36" s="26" t="inlineStr">
        <is>
          <t>涉及则直接不接</t>
        </is>
      </c>
      <c r="E36" s="27" t="inlineStr">
        <is>
          <t>否</t>
        </is>
      </c>
      <c r="F36" s="26" t="inlineStr"/>
      <c r="G36" s="27" t="inlineStr">
        <is>
          <t>待定</t>
        </is>
      </c>
      <c r="H36" s="26" t="inlineStr">
        <is>
          <t>合规风险最终落在接单人身上</t>
        </is>
      </c>
    </row>
    <row r="37" ht="35" customHeight="1">
      <c r="A37" s="28" t="inlineStr">
        <is>
          <t>E1</t>
        </is>
      </c>
      <c r="B37" s="29" t="inlineStr">
        <is>
          <t>Excel 插件</t>
        </is>
      </c>
      <c r="C37" s="30" t="inlineStr">
        <is>
          <t>用 Excel 2016 / 2019 / 365 还是 WPS？具体版本号？</t>
        </is>
      </c>
      <c r="D37" s="30" t="inlineStr">
        <is>
          <t>版本说清</t>
        </is>
      </c>
      <c r="E37" s="31" t="inlineStr">
        <is>
          <t>否</t>
        </is>
      </c>
      <c r="F37" s="30" t="inlineStr"/>
      <c r="G37" s="31" t="inlineStr">
        <is>
          <t>待定</t>
        </is>
      </c>
      <c r="H37" s="30" t="inlineStr">
        <is>
          <t>WPS 与 Office 不完全通用</t>
        </is>
      </c>
    </row>
    <row r="38" ht="30" customHeight="1">
      <c r="A38" s="28" t="inlineStr">
        <is>
          <t>E2</t>
        </is>
      </c>
      <c r="B38" s="29" t="inlineStr">
        <is>
          <t>Excel 插件</t>
        </is>
      </c>
      <c r="C38" s="30" t="inlineStr">
        <is>
          <t>Office 是 32 位还是 64 位？</t>
        </is>
      </c>
      <c r="D38" s="30" t="inlineStr">
        <is>
          <t>明确位数</t>
        </is>
      </c>
      <c r="E38" s="31" t="inlineStr">
        <is>
          <t>否</t>
        </is>
      </c>
      <c r="F38" s="30" t="inlineStr"/>
      <c r="G38" s="31" t="inlineStr">
        <is>
          <t>待定</t>
        </is>
      </c>
      <c r="H38" s="30" t="inlineStr">
        <is>
          <t>位数不匹配，加载项直接不加载</t>
        </is>
      </c>
    </row>
    <row r="39" ht="30" customHeight="1">
      <c r="A39" s="28" t="inlineStr">
        <is>
          <t>E3</t>
        </is>
      </c>
      <c r="B39" s="29" t="inlineStr">
        <is>
          <t>Excel 插件</t>
        </is>
      </c>
      <c r="C39" s="30" t="inlineStr">
        <is>
          <t>公司电脑允许装加载项吗？宏安全设置是什么级别？</t>
        </is>
      </c>
      <c r="D39" s="30" t="inlineStr">
        <is>
          <t>确认策略允许</t>
        </is>
      </c>
      <c r="E39" s="31" t="inlineStr">
        <is>
          <t>否</t>
        </is>
      </c>
      <c r="F39" s="30" t="inlineStr"/>
      <c r="G39" s="31" t="inlineStr">
        <is>
          <t>待定</t>
        </is>
      </c>
      <c r="H39" s="30" t="inlineStr">
        <is>
          <t>企业禁装是最常见失败原因</t>
        </is>
      </c>
    </row>
    <row r="40" ht="35" customHeight="1">
      <c r="A40" s="28" t="inlineStr">
        <is>
          <t>E4</t>
        </is>
      </c>
      <c r="B40" s="29" t="inlineStr">
        <is>
          <t>Excel 插件</t>
        </is>
      </c>
      <c r="C40" s="30" t="inlineStr">
        <is>
          <t>要按钮、任务窗格、右键菜单，还是打开文件自动触发？</t>
        </is>
      </c>
      <c r="D40" s="30" t="inlineStr">
        <is>
          <t>交互形态明确</t>
        </is>
      </c>
      <c r="E40" s="31" t="inlineStr">
        <is>
          <t>否</t>
        </is>
      </c>
      <c r="F40" s="30" t="inlineStr"/>
      <c r="G40" s="31" t="inlineStr">
        <is>
          <t>待定</t>
        </is>
      </c>
      <c r="H40" s="30" t="inlineStr">
        <is>
          <t>自动触发要额外处理事件</t>
        </is>
      </c>
    </row>
    <row r="41" ht="30" customHeight="1">
      <c r="A41" s="28" t="inlineStr">
        <is>
          <t>E5</t>
        </is>
      </c>
      <c r="B41" s="29" t="inlineStr">
        <is>
          <t>Excel 插件</t>
        </is>
      </c>
      <c r="C41" s="30" t="inlineStr">
        <is>
          <t>要读哪些表？需要联网或访问本地文件吗？</t>
        </is>
      </c>
      <c r="D41" s="30" t="inlineStr">
        <is>
          <t>权限范围明确</t>
        </is>
      </c>
      <c r="E41" s="31" t="inlineStr">
        <is>
          <t>否</t>
        </is>
      </c>
      <c r="F41" s="30" t="inlineStr"/>
      <c r="G41" s="31" t="inlineStr">
        <is>
          <t>待定</t>
        </is>
      </c>
      <c r="H41" s="30" t="inlineStr">
        <is>
          <t>涉及联网要单独评估</t>
        </is>
      </c>
    </row>
    <row r="42" ht="35" customHeight="1">
      <c r="A42" s="28" t="inlineStr">
        <is>
          <t>E6</t>
        </is>
      </c>
      <c r="B42" s="29" t="inlineStr">
        <is>
          <t>Excel 插件</t>
        </is>
      </c>
      <c r="C42" s="30" t="inlineStr">
        <is>
          <t>能不能先在一台目标机器上试装一个空插件，确认能加载？</t>
        </is>
      </c>
      <c r="D42" s="30" t="inlineStr">
        <is>
          <t>试装通过再排期</t>
        </is>
      </c>
      <c r="E42" s="31" t="inlineStr">
        <is>
          <t>否</t>
        </is>
      </c>
      <c r="F42" s="30" t="inlineStr"/>
      <c r="G42" s="31" t="inlineStr">
        <is>
          <t>待定</t>
        </is>
      </c>
      <c r="H42" s="30" t="inlineStr">
        <is>
          <t>这一步能省掉大部分返工</t>
        </is>
      </c>
    </row>
    <row r="43" ht="35" customHeight="1">
      <c r="A43" s="32" t="inlineStr">
        <is>
          <t>B1</t>
        </is>
      </c>
      <c r="B43" s="33" t="inlineStr">
        <is>
          <t>浏览器插件</t>
        </is>
      </c>
      <c r="C43" s="34" t="inlineStr">
        <is>
          <t>用哪个浏览器、什么版本？（Chrome / Edge / 360 / 夸克）</t>
        </is>
      </c>
      <c r="D43" s="34" t="inlineStr">
        <is>
          <t>版本明确</t>
        </is>
      </c>
      <c r="E43" s="35" t="inlineStr">
        <is>
          <t>否</t>
        </is>
      </c>
      <c r="F43" s="34" t="inlineStr"/>
      <c r="G43" s="35" t="inlineStr">
        <is>
          <t>待定</t>
        </is>
      </c>
      <c r="H43" s="34" t="inlineStr">
        <is>
          <t>国产浏览器内核差异大</t>
        </is>
      </c>
    </row>
    <row r="44" ht="30" customHeight="1">
      <c r="A44" s="32" t="inlineStr">
        <is>
          <t>B2</t>
        </is>
      </c>
      <c r="B44" s="33" t="inlineStr">
        <is>
          <t>浏览器插件</t>
        </is>
      </c>
      <c r="C44" s="34" t="inlineStr">
        <is>
          <t>要手动开发者模式安装，还是要上架商店？</t>
        </is>
      </c>
      <c r="D44" s="34" t="inlineStr">
        <is>
          <t>分发方式明确</t>
        </is>
      </c>
      <c r="E44" s="35" t="inlineStr">
        <is>
          <t>否</t>
        </is>
      </c>
      <c r="F44" s="34" t="inlineStr"/>
      <c r="G44" s="35" t="inlineStr">
        <is>
          <t>待定</t>
        </is>
      </c>
      <c r="H44" s="34" t="inlineStr">
        <is>
          <t>上架需要开发者账号与审核</t>
        </is>
      </c>
    </row>
    <row r="45" ht="30" customHeight="1">
      <c r="A45" s="32" t="inlineStr">
        <is>
          <t>B3</t>
        </is>
      </c>
      <c r="B45" s="33" t="inlineStr">
        <is>
          <t>浏览器插件</t>
        </is>
      </c>
      <c r="C45" s="34" t="inlineStr">
        <is>
          <t>要访问哪些网站？需要读写网页数据或联网吗？</t>
        </is>
      </c>
      <c r="D45" s="34" t="inlineStr">
        <is>
          <t>权限范围明确</t>
        </is>
      </c>
      <c r="E45" s="35" t="inlineStr">
        <is>
          <t>否</t>
        </is>
      </c>
      <c r="F45" s="34" t="inlineStr"/>
      <c r="G45" s="35" t="inlineStr">
        <is>
          <t>待定</t>
        </is>
      </c>
      <c r="H45" s="34" t="inlineStr">
        <is>
          <t>权限过大商店会拒审</t>
        </is>
      </c>
    </row>
    <row r="46" ht="30" customHeight="1">
      <c r="A46" s="32" t="inlineStr">
        <is>
          <t>B4</t>
        </is>
      </c>
      <c r="B46" s="33" t="inlineStr">
        <is>
          <t>浏览器插件</t>
        </is>
      </c>
      <c r="C46" s="34" t="inlineStr">
        <is>
          <t>触发方式：点图标、页面自动注入，还是快捷键？</t>
        </is>
      </c>
      <c r="D46" s="34" t="inlineStr">
        <is>
          <t>触发方式明确</t>
        </is>
      </c>
      <c r="E46" s="35" t="inlineStr">
        <is>
          <t>否</t>
        </is>
      </c>
      <c r="F46" s="34" t="inlineStr"/>
      <c r="G46" s="35" t="inlineStr">
        <is>
          <t>待定</t>
        </is>
      </c>
      <c r="H46" s="34" t="inlineStr">
        <is>
          <t>网站改版会导致选择器失效</t>
        </is>
      </c>
    </row>
    <row r="47" ht="30" customHeight="1">
      <c r="A47" s="36" t="inlineStr">
        <is>
          <t>A1</t>
        </is>
      </c>
      <c r="B47" s="37" t="inlineStr">
        <is>
          <t>接口对接</t>
        </is>
      </c>
      <c r="C47" s="38" t="inlineStr">
        <is>
          <t>有接口文档、字段说明和错误码吗？先发我一份。</t>
        </is>
      </c>
      <c r="D47" s="38" t="inlineStr">
        <is>
          <t>拿到文档</t>
        </is>
      </c>
      <c r="E47" s="39" t="inlineStr">
        <is>
          <t>否</t>
        </is>
      </c>
      <c r="F47" s="38" t="inlineStr"/>
      <c r="G47" s="39" t="inlineStr">
        <is>
          <t>待定</t>
        </is>
      </c>
      <c r="H47" s="38" t="inlineStr">
        <is>
          <t>没文档就是猜着写</t>
        </is>
      </c>
    </row>
    <row r="48" ht="35" customHeight="1">
      <c r="A48" s="36" t="inlineStr">
        <is>
          <t>A2</t>
        </is>
      </c>
      <c r="B48" s="37" t="inlineStr">
        <is>
          <t>接口对接</t>
        </is>
      </c>
      <c r="C48" s="38" t="inlineStr">
        <is>
          <t>有测试环境吗？地址、账号、key / token 能提供吗？</t>
        </is>
      </c>
      <c r="D48" s="38" t="inlineStr">
        <is>
          <t>三样齐全</t>
        </is>
      </c>
      <c r="E48" s="39" t="inlineStr">
        <is>
          <t>否</t>
        </is>
      </c>
      <c r="F48" s="38" t="inlineStr"/>
      <c r="G48" s="39" t="inlineStr">
        <is>
          <t>待定</t>
        </is>
      </c>
      <c r="H48" s="38" t="inlineStr">
        <is>
          <t>缺测试环境无法保证联调</t>
        </is>
      </c>
    </row>
    <row r="49" ht="30" customHeight="1">
      <c r="A49" s="36" t="inlineStr">
        <is>
          <t>A3</t>
        </is>
      </c>
      <c r="B49" s="37" t="inlineStr">
        <is>
          <t>接口对接</t>
        </is>
      </c>
      <c r="C49" s="38" t="inlineStr">
        <is>
          <t>认证方式是 Token、OAuth、签名还是 IP 白名单？</t>
        </is>
      </c>
      <c r="D49" s="38" t="inlineStr">
        <is>
          <t>认证方式明确</t>
        </is>
      </c>
      <c r="E49" s="39" t="inlineStr">
        <is>
          <t>否</t>
        </is>
      </c>
      <c r="F49" s="38" t="inlineStr"/>
      <c r="G49" s="39" t="inlineStr">
        <is>
          <t>待定</t>
        </is>
      </c>
      <c r="H49" s="38" t="inlineStr">
        <is>
          <t>签名算法不清会卡很久</t>
        </is>
      </c>
    </row>
    <row r="50" ht="30" customHeight="1">
      <c r="A50" s="36" t="inlineStr">
        <is>
          <t>A4</t>
        </is>
      </c>
      <c r="B50" s="37" t="inlineStr">
        <is>
          <t>接口对接</t>
        </is>
      </c>
      <c r="C50" s="38" t="inlineStr">
        <is>
          <t>有 QPS 上限或每日调用量限制吗？</t>
        </is>
      </c>
      <c r="D50" s="38" t="inlineStr">
        <is>
          <t>限流规则明确</t>
        </is>
      </c>
      <c r="E50" s="39" t="inlineStr">
        <is>
          <t>否</t>
        </is>
      </c>
      <c r="F50" s="38" t="inlineStr"/>
      <c r="G50" s="39" t="inlineStr">
        <is>
          <t>待定</t>
        </is>
      </c>
      <c r="H50" s="38" t="inlineStr">
        <is>
          <t>超限会被封，要加节流</t>
        </is>
      </c>
    </row>
    <row r="51" ht="30" customHeight="1">
      <c r="A51" s="36" t="inlineStr">
        <is>
          <t>A5</t>
        </is>
      </c>
      <c r="B51" s="37" t="inlineStr">
        <is>
          <t>接口对接</t>
        </is>
      </c>
      <c r="C51" s="38" t="inlineStr">
        <is>
          <t>是单向还是双向？实时还是定时同步？</t>
        </is>
      </c>
      <c r="D51" s="38" t="inlineStr">
        <is>
          <t>同步方式明确</t>
        </is>
      </c>
      <c r="E51" s="39" t="inlineStr">
        <is>
          <t>否</t>
        </is>
      </c>
      <c r="F51" s="38" t="inlineStr"/>
      <c r="G51" s="39" t="inlineStr">
        <is>
          <t>待定</t>
        </is>
      </c>
      <c r="H51" s="38" t="inlineStr">
        <is>
          <t>双向同步要处理冲突</t>
        </is>
      </c>
    </row>
    <row r="52" ht="30" customHeight="1">
      <c r="A52" s="36" t="inlineStr">
        <is>
          <t>A6</t>
        </is>
      </c>
      <c r="B52" s="37" t="inlineStr">
        <is>
          <t>接口对接</t>
        </is>
      </c>
      <c r="C52" s="38" t="inlineStr">
        <is>
          <t>接口出问题找谁？对方有技术支持吗？</t>
        </is>
      </c>
      <c r="D52" s="38" t="inlineStr">
        <is>
          <t>有对接人</t>
        </is>
      </c>
      <c r="E52" s="39" t="inlineStr">
        <is>
          <t>否</t>
        </is>
      </c>
      <c r="F52" s="38" t="inlineStr"/>
      <c r="G52" s="39" t="inlineStr">
        <is>
          <t>待定</t>
        </is>
      </c>
      <c r="H52" s="38" t="inlineStr">
        <is>
          <t>对方没人管，问题都算你的</t>
        </is>
      </c>
    </row>
    <row r="53" ht="30" customHeight="1">
      <c r="A53" s="40" t="inlineStr">
        <is>
          <t>C1</t>
        </is>
      </c>
      <c r="B53" s="41" t="inlineStr">
        <is>
          <t>二次开发</t>
        </is>
      </c>
      <c r="C53" s="42" t="inlineStr">
        <is>
          <t>有源码吗？什么语言？能编译或运行起来吗？</t>
        </is>
      </c>
      <c r="D53" s="42" t="inlineStr">
        <is>
          <t>能拿到源码并跑起来</t>
        </is>
      </c>
      <c r="E53" s="43" t="inlineStr">
        <is>
          <t>否</t>
        </is>
      </c>
      <c r="F53" s="42" t="inlineStr"/>
      <c r="G53" s="43" t="inlineStr">
        <is>
          <t>待定</t>
        </is>
      </c>
      <c r="H53" s="42" t="inlineStr">
        <is>
          <t>只给成品，只能做外围工具</t>
        </is>
      </c>
    </row>
    <row r="54" ht="30" customHeight="1">
      <c r="A54" s="40" t="inlineStr">
        <is>
          <t>C2</t>
        </is>
      </c>
      <c r="B54" s="41" t="inlineStr">
        <is>
          <t>二次开发</t>
        </is>
      </c>
      <c r="C54" s="42" t="inlineStr">
        <is>
          <t>原开发者同意改吗？有设计文档吗？</t>
        </is>
      </c>
      <c r="D54" s="42" t="inlineStr">
        <is>
          <t>授权清楚</t>
        </is>
      </c>
      <c r="E54" s="43" t="inlineStr">
        <is>
          <t>否</t>
        </is>
      </c>
      <c r="F54" s="42" t="inlineStr"/>
      <c r="G54" s="43" t="inlineStr">
        <is>
          <t>待定</t>
        </is>
      </c>
      <c r="H54" s="42" t="inlineStr">
        <is>
          <t>授权不清，改完容易有纠纷</t>
        </is>
      </c>
    </row>
    <row r="55" ht="35" customHeight="1">
      <c r="A55" s="40" t="inlineStr">
        <is>
          <t>C3</t>
        </is>
      </c>
      <c r="B55" s="41" t="inlineStr">
        <is>
          <t>二次开发</t>
        </is>
      </c>
      <c r="C55" s="42" t="inlineStr">
        <is>
          <t>要加功能、改逻辑还是修 bug？哪些地方绝对不能动？</t>
        </is>
      </c>
      <c r="D55" s="42" t="inlineStr">
        <is>
          <t>范围与非改动区明确</t>
        </is>
      </c>
      <c r="E55" s="43" t="inlineStr">
        <is>
          <t>否</t>
        </is>
      </c>
      <c r="F55" s="42" t="inlineStr"/>
      <c r="G55" s="43" t="inlineStr">
        <is>
          <t>待定</t>
        </is>
      </c>
      <c r="H55" s="42" t="inlineStr">
        <is>
          <t>范围不清等于无限改</t>
        </is>
      </c>
    </row>
    <row r="56" ht="30" customHeight="1">
      <c r="A56" s="40" t="inlineStr">
        <is>
          <t>C4</t>
        </is>
      </c>
      <c r="B56" s="41" t="inlineStr">
        <is>
          <t>二次开发</t>
        </is>
      </c>
      <c r="C56" s="42" t="inlineStr">
        <is>
          <t>原软件以后升级，我的改动怎么处理？</t>
        </is>
      </c>
      <c r="D56" s="42" t="inlineStr">
        <is>
          <t>约定升级后的处理方式</t>
        </is>
      </c>
      <c r="E56" s="43" t="inlineStr">
        <is>
          <t>否</t>
        </is>
      </c>
      <c r="F56" s="42" t="inlineStr"/>
      <c r="G56" s="43" t="inlineStr">
        <is>
          <t>待定</t>
        </is>
      </c>
      <c r="H56" s="42" t="inlineStr">
        <is>
          <t>不约定，升级一次就重做</t>
        </is>
      </c>
    </row>
    <row r="57" ht="30" customHeight="1">
      <c r="A57" s="40" t="inlineStr">
        <is>
          <t>C5</t>
        </is>
      </c>
      <c r="B57" s="41" t="inlineStr">
        <is>
          <t>二次开发</t>
        </is>
      </c>
      <c r="C57" s="42" t="inlineStr">
        <is>
          <t>原工程上改，还是单独出一份？</t>
        </is>
      </c>
      <c r="D57" s="42" t="inlineStr">
        <is>
          <t>交付形态明确</t>
        </is>
      </c>
      <c r="E57" s="43" t="inlineStr">
        <is>
          <t>否</t>
        </is>
      </c>
      <c r="F57" s="42" t="inlineStr"/>
      <c r="G57" s="43" t="inlineStr">
        <is>
          <t>待定</t>
        </is>
      </c>
      <c r="H57" s="42" t="inlineStr">
        <is>
          <t>单独一份要说明后续合并成本</t>
        </is>
      </c>
    </row>
    <row r="58" ht="30" customHeight="1">
      <c r="A58" s="44" t="inlineStr">
        <is>
          <t>P1</t>
        </is>
      </c>
      <c r="B58" s="45" t="inlineStr">
        <is>
          <t>报价六行</t>
        </is>
      </c>
      <c r="C58" s="46" t="inlineStr">
        <is>
          <t>做什么：功能逐条列，一条一行</t>
        </is>
      </c>
      <c r="D58" s="46" t="inlineStr">
        <is>
          <t>已写进聊天记录</t>
        </is>
      </c>
      <c r="E58" s="47" t="inlineStr">
        <is>
          <t>否</t>
        </is>
      </c>
      <c r="F58" s="46" t="inlineStr"/>
      <c r="G58" s="47" t="inlineStr">
        <is>
          <t>待定</t>
        </is>
      </c>
      <c r="H58" s="46" t="inlineStr">
        <is>
          <t>不写“等”“之类”</t>
        </is>
      </c>
    </row>
    <row r="59" ht="35" customHeight="1">
      <c r="A59" s="44" t="inlineStr">
        <is>
          <t>P2</t>
        </is>
      </c>
      <c r="B59" s="45" t="inlineStr">
        <is>
          <t>报价六行</t>
        </is>
      </c>
      <c r="C59" s="46" t="inlineStr">
        <is>
          <t>不做什么：不含界面美化 / 服务器部署 / 系统升级适配</t>
        </is>
      </c>
      <c r="D59" s="46" t="inlineStr">
        <is>
          <t>边界已写明</t>
        </is>
      </c>
      <c r="E59" s="47" t="inlineStr">
        <is>
          <t>否</t>
        </is>
      </c>
      <c r="F59" s="46" t="inlineStr"/>
      <c r="G59" s="47" t="inlineStr">
        <is>
          <t>待定</t>
        </is>
      </c>
      <c r="H59" s="46" t="inlineStr">
        <is>
          <t>不写就是默认全含</t>
        </is>
      </c>
    </row>
    <row r="60" ht="30" customHeight="1">
      <c r="A60" s="44" t="inlineStr">
        <is>
          <t>P3</t>
        </is>
      </c>
      <c r="B60" s="45" t="inlineStr">
        <is>
          <t>报价六行</t>
        </is>
      </c>
      <c r="C60" s="46" t="inlineStr">
        <is>
          <t>交付什么：文件清单，具体到文件名</t>
        </is>
      </c>
      <c r="D60" s="46" t="inlineStr">
        <is>
          <t>交付物可点数</t>
        </is>
      </c>
      <c r="E60" s="47" t="inlineStr">
        <is>
          <t>否</t>
        </is>
      </c>
      <c r="F60" s="46" t="inlineStr"/>
      <c r="G60" s="47" t="inlineStr">
        <is>
          <t>待定</t>
        </is>
      </c>
      <c r="H60" s="46" t="inlineStr">
        <is>
          <t>含糊就会追加要求</t>
        </is>
      </c>
    </row>
    <row r="61" ht="30" customHeight="1">
      <c r="A61" s="44" t="inlineStr">
        <is>
          <t>P4</t>
        </is>
      </c>
      <c r="B61" s="45" t="inlineStr">
        <is>
          <t>报价六行</t>
        </is>
      </c>
      <c r="C61" s="46" t="inlineStr">
        <is>
          <t>工期：第一版演示时间、验收时间</t>
        </is>
      </c>
      <c r="D61" s="46" t="inlineStr">
        <is>
          <t>两个节点都有日期</t>
        </is>
      </c>
      <c r="E61" s="47" t="inlineStr">
        <is>
          <t>否</t>
        </is>
      </c>
      <c r="F61" s="46" t="inlineStr"/>
      <c r="G61" s="47" t="inlineStr">
        <is>
          <t>待定</t>
        </is>
      </c>
      <c r="H61" s="46" t="inlineStr">
        <is>
          <t>只给总工期容易拖</t>
        </is>
      </c>
    </row>
    <row r="62" ht="30" customHeight="1">
      <c r="A62" s="44" t="inlineStr">
        <is>
          <t>P5</t>
        </is>
      </c>
      <c r="B62" s="45" t="inlineStr">
        <is>
          <t>报价六行</t>
        </is>
      </c>
      <c r="C62" s="46" t="inlineStr">
        <is>
          <t>修改与售后：免费改几次、超出怎么算、售后多久</t>
        </is>
      </c>
      <c r="D62" s="46" t="inlineStr">
        <is>
          <t>次数与期限写死</t>
        </is>
      </c>
      <c r="E62" s="47" t="inlineStr">
        <is>
          <t>否</t>
        </is>
      </c>
      <c r="F62" s="46" t="inlineStr"/>
      <c r="G62" s="47" t="inlineStr">
        <is>
          <t>待定</t>
        </is>
      </c>
      <c r="H62" s="46" t="inlineStr">
        <is>
          <t>别承诺“改到满意”</t>
        </is>
      </c>
    </row>
    <row r="63" ht="35" customHeight="1">
      <c r="A63" s="44" t="inlineStr">
        <is>
          <t>P6</t>
        </is>
      </c>
      <c r="B63" s="45" t="inlineStr">
        <is>
          <t>报价六行</t>
        </is>
      </c>
      <c r="C63" s="46" t="inlineStr">
        <is>
          <t>前提条件：系统版本、Office 版本、文档与环境由谁提供</t>
        </is>
      </c>
      <c r="D63" s="46" t="inlineStr">
        <is>
          <t>条件和责任方写明</t>
        </is>
      </c>
      <c r="E63" s="47" t="inlineStr">
        <is>
          <t>否</t>
        </is>
      </c>
      <c r="F63" s="46" t="inlineStr"/>
      <c r="G63" s="47" t="inlineStr">
        <is>
          <t>待定</t>
        </is>
      </c>
      <c r="H63" s="46" t="inlineStr">
        <is>
          <t>不满足时怎么处理也要写</t>
        </is>
      </c>
    </row>
    <row r="64" ht="30" customHeight="1">
      <c r="A64" s="48" t="inlineStr">
        <is>
          <t>R1</t>
        </is>
      </c>
      <c r="B64" s="49" t="inlineStr">
        <is>
          <t>红线</t>
        </is>
      </c>
      <c r="C64" s="50" t="inlineStr">
        <is>
          <t>需要客户生产系统权限，或要登录他人账号吗？</t>
        </is>
      </c>
      <c r="D64" s="50" t="inlineStr">
        <is>
          <t>命中即不接</t>
        </is>
      </c>
      <c r="E64" s="51" t="inlineStr">
        <is>
          <t>否</t>
        </is>
      </c>
      <c r="F64" s="50" t="inlineStr"/>
      <c r="G64" s="51" t="inlineStr">
        <is>
          <t>待定</t>
        </is>
      </c>
      <c r="H64" s="50" t="inlineStr">
        <is>
          <t>出事责任在接单人</t>
        </is>
      </c>
    </row>
    <row r="65" ht="30" customHeight="1">
      <c r="A65" s="48" t="inlineStr">
        <is>
          <t>R2</t>
        </is>
      </c>
      <c r="B65" s="49" t="inlineStr">
        <is>
          <t>红线</t>
        </is>
      </c>
      <c r="C65" s="50" t="inlineStr">
        <is>
          <t>需求只有一句话、拿不出任何样例材料吗？</t>
        </is>
      </c>
      <c r="D65" s="50" t="inlineStr">
        <is>
          <t>命中则先补材料</t>
        </is>
      </c>
      <c r="E65" s="51" t="inlineStr">
        <is>
          <t>否</t>
        </is>
      </c>
      <c r="F65" s="50" t="inlineStr"/>
      <c r="G65" s="51" t="inlineStr">
        <is>
          <t>待定</t>
        </is>
      </c>
      <c r="H65" s="50" t="inlineStr">
        <is>
          <t>补不出就不报价</t>
        </is>
      </c>
    </row>
    <row r="66" ht="30" customHeight="1">
      <c r="A66" s="48" t="inlineStr">
        <is>
          <t>R3</t>
        </is>
      </c>
      <c r="B66" s="49" t="inlineStr">
        <is>
          <t>红线</t>
        </is>
      </c>
      <c r="C66" s="50" t="inlineStr">
        <is>
          <t>报价被压到明显做不完吗？</t>
        </is>
      </c>
      <c r="D66" s="50" t="inlineStr">
        <is>
          <t>命中即不接</t>
        </is>
      </c>
      <c r="E66" s="51" t="inlineStr">
        <is>
          <t>否</t>
        </is>
      </c>
      <c r="F66" s="50" t="inlineStr"/>
      <c r="G66" s="51" t="inlineStr">
        <is>
          <t>待定</t>
        </is>
      </c>
      <c r="H66" s="50" t="inlineStr">
        <is>
          <t>烂尾比不接更亏</t>
        </is>
      </c>
    </row>
    <row r="67" ht="30" customHeight="1">
      <c r="A67" s="48" t="inlineStr">
        <is>
          <t>R4</t>
        </is>
      </c>
      <c r="B67" s="49" t="inlineStr">
        <is>
          <t>红线</t>
        </is>
      </c>
      <c r="C67" s="50" t="inlineStr">
        <is>
          <t>涉及刷单、作弊、破解或数据倒卖吗？</t>
        </is>
      </c>
      <c r="D67" s="50" t="inlineStr">
        <is>
          <t>命中即不接</t>
        </is>
      </c>
      <c r="E67" s="51" t="inlineStr">
        <is>
          <t>否</t>
        </is>
      </c>
      <c r="F67" s="50" t="inlineStr"/>
      <c r="G67" s="51" t="inlineStr">
        <is>
          <t>待定</t>
        </is>
      </c>
      <c r="H67" s="50" t="inlineStr">
        <is>
          <t>平台与法律风险</t>
        </is>
      </c>
    </row>
    <row r="68" ht="30" customHeight="1">
      <c r="A68" s="48" t="inlineStr">
        <is>
          <t>R5</t>
        </is>
      </c>
      <c r="B68" s="49" t="inlineStr">
        <is>
          <t>红线</t>
        </is>
      </c>
      <c r="C68" s="50" t="inlineStr">
        <is>
          <t>要求 7×24 值守、驻场或长期运维吗？</t>
        </is>
      </c>
      <c r="D68" s="50" t="inlineStr">
        <is>
          <t>命中则只做交付与短期售后</t>
        </is>
      </c>
      <c r="E68" s="51" t="inlineStr">
        <is>
          <t>否</t>
        </is>
      </c>
      <c r="F68" s="50" t="inlineStr"/>
      <c r="G68" s="51" t="inlineStr">
        <is>
          <t>待定</t>
        </is>
      </c>
      <c r="H68" s="50" t="inlineStr">
        <is>
          <t>个人做不了值班</t>
        </is>
      </c>
    </row>
  </sheetData>
  <autoFilter ref="A3:H68"/>
  <mergeCells count="2">
    <mergeCell ref="A2:H2"/>
    <mergeCell ref="A1:H1"/>
  </mergeCells>
  <conditionalFormatting sqref="G4:G68">
    <cfRule type="expression" priority="1" dxfId="0">
      <formula>$G4="不通过"</formula>
    </cfRule>
    <cfRule type="expression" priority="2" dxfId="1">
      <formula>$G4="有条件"</formula>
    </cfRule>
    <cfRule type="expression" priority="3" dxfId="2">
      <formula>$G4="通过"</formula>
    </cfRule>
  </conditionalFormatting>
  <conditionalFormatting sqref="E4:E68">
    <cfRule type="expression" priority="4" dxfId="1">
      <formula>$E4="待补"</formula>
    </cfRule>
    <cfRule type="expression" priority="5" dxfId="2">
      <formula>$E4="是"</formula>
    </cfRule>
  </conditionalFormatting>
  <dataValidations count="2">
    <dataValidation sqref="E4:E68" showDropDown="0" showInputMessage="0" showErrorMessage="0" allowBlank="1" error="请从下拉里选：是 / 否 / 待补" type="list">
      <formula1>"是,否,待补"</formula1>
    </dataValidation>
    <dataValidation sqref="G4:G68" showDropDown="0" showInputMessage="0" showErrorMessage="0" allowBlank="1" error="请从下拉里选：通过 / 有条件 / 不通过 / 待定" type="list">
      <formula1>"通过,有条件,不通过,待定"</formula1>
    </dataValidation>
  </dataValidations>
  <printOptions horizontalCentered="1"/>
  <pageMargins left="0.75" right="0.75" top="1" bottom="1" header="0.5" footer="0.5"/>
  <pageSetup orientation="landscape" paperSize="9" fitToHeight="0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C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46" customWidth="1" min="3" max="3"/>
  </cols>
  <sheetData>
    <row r="1" ht="34" customHeight="1">
      <c r="A1" s="52" t="inlineStr">
        <is>
          <t>需求信息采集表（直接发客户）</t>
        </is>
      </c>
    </row>
    <row r="2" ht="34" customHeight="1">
      <c r="A2" s="53" t="inlineStr">
        <is>
          <t>麻烦您把下面每条填一下，答不全也没关系，标个“不清楚”就行。材料齐了我这边能当天给报价和工期，答复会快很多。</t>
        </is>
      </c>
    </row>
    <row r="3" ht="26" customHeight="1">
      <c r="A3" s="54" t="inlineStr">
        <is>
          <t>编号</t>
        </is>
      </c>
      <c r="B3" s="54" t="inlineStr">
        <is>
          <t>请回答的问题</t>
        </is>
      </c>
      <c r="C3" s="54" t="inlineStr">
        <is>
          <t>您的回答</t>
        </is>
      </c>
    </row>
    <row r="4" ht="35" customHeight="1">
      <c r="A4" s="55" t="inlineStr">
        <is>
          <t>G1</t>
        </is>
      </c>
      <c r="B4" s="56" t="inlineStr">
        <is>
          <t>这个软件最终跑在什么系统上？版本号多少（如 Win10 22H2 / Ubuntu 22.04）？</t>
        </is>
      </c>
      <c r="C4" s="56" t="inlineStr"/>
    </row>
    <row r="5" ht="30" customHeight="1">
      <c r="A5" s="55" t="inlineStr">
        <is>
          <t>G2</t>
        </is>
      </c>
      <c r="B5" s="56" t="inlineStr">
        <is>
          <t>有输入样例、接口文档、测试环境或源码吗？能先发我一份吗？</t>
        </is>
      </c>
      <c r="C5" s="56" t="inlineStr"/>
    </row>
    <row r="6" ht="30" customHeight="1">
      <c r="A6" s="55" t="inlineStr">
        <is>
          <t>G3</t>
        </is>
      </c>
      <c r="B6" s="56" t="inlineStr">
        <is>
          <t>做到什么样算完成？最后谁来确认？</t>
        </is>
      </c>
      <c r="C6" s="56" t="inlineStr"/>
    </row>
    <row r="7" ht="35" customHeight="1">
      <c r="A7" s="57" t="inlineStr">
        <is>
          <t>T1</t>
        </is>
      </c>
      <c r="B7" s="58" t="inlineStr">
        <is>
          <t>这套东西跑在哪：个人电脑、公司电脑、服务器还是云主机？有外网吗？</t>
        </is>
      </c>
      <c r="C7" s="58" t="inlineStr"/>
    </row>
    <row r="8" ht="30" customHeight="1">
      <c r="A8" s="57" t="inlineStr">
        <is>
          <t>T2</t>
        </is>
      </c>
      <c r="B8" s="58" t="inlineStr">
        <is>
          <t>几个人用？一天用几次？是固定流程还是临时用一次？</t>
        </is>
      </c>
      <c r="C8" s="58" t="inlineStr"/>
    </row>
    <row r="9" ht="30" customHeight="1">
      <c r="A9" s="57" t="inlineStr">
        <is>
          <t>T3</t>
        </is>
      </c>
      <c r="B9" s="58" t="inlineStr">
        <is>
          <t>现在这件事你们具体怎么做？能给截图或录屏吗？</t>
        </is>
      </c>
      <c r="C9" s="58" t="inlineStr"/>
    </row>
    <row r="10" ht="30" customHeight="1">
      <c r="A10" s="57" t="inlineStr">
        <is>
          <t>T4</t>
        </is>
      </c>
      <c r="B10" s="58" t="inlineStr">
        <is>
          <t>给我一个真实的输入样例，一次大概多少条数据？</t>
        </is>
      </c>
      <c r="C10" s="58" t="inlineStr"/>
    </row>
    <row r="11" ht="30" customHeight="1">
      <c r="A11" s="57" t="inlineStr">
        <is>
          <t>T5</t>
        </is>
      </c>
      <c r="B11" s="58" t="inlineStr">
        <is>
          <t>最后要得到什么：文件、界面还是接口？有参考样式吗？</t>
        </is>
      </c>
      <c r="C11" s="58" t="inlineStr"/>
    </row>
    <row r="12" ht="30" customHeight="1">
      <c r="A12" s="57" t="inlineStr">
        <is>
          <t>T6</t>
        </is>
      </c>
      <c r="B12" s="58" t="inlineStr">
        <is>
          <t>数据缺失、格式不统一、中途报错时，希望程序怎么处理？</t>
        </is>
      </c>
      <c r="C12" s="58" t="inlineStr"/>
    </row>
    <row r="13" ht="30" customHeight="1">
      <c r="A13" s="57" t="inlineStr">
        <is>
          <t>T7</t>
        </is>
      </c>
      <c r="B13" s="58" t="inlineStr">
        <is>
          <t>什么时候要用？有没有硬截止？验收由谁点头？</t>
        </is>
      </c>
      <c r="C13" s="58" t="inlineStr"/>
    </row>
    <row r="14" ht="30" customHeight="1">
      <c r="A14" s="57" t="inlineStr">
        <is>
          <t>T8</t>
        </is>
      </c>
      <c r="B14" s="58" t="inlineStr">
        <is>
          <t>预算大概什么区间？</t>
        </is>
      </c>
      <c r="C14" s="58" t="inlineStr"/>
    </row>
    <row r="15" ht="30" customHeight="1">
      <c r="A15" s="59" t="inlineStr">
        <is>
          <t>W1</t>
        </is>
      </c>
      <c r="B15" s="60" t="inlineStr">
        <is>
          <t>系统是 Win10 还是 Win11？还要兼容 Win7 吗？</t>
        </is>
      </c>
      <c r="C15" s="60" t="inlineStr"/>
    </row>
    <row r="16" ht="30" customHeight="1">
      <c r="A16" s="59" t="inlineStr">
        <is>
          <t>W2</t>
        </is>
      </c>
      <c r="B16" s="60" t="inlineStr">
        <is>
          <t>需要支持 32 位系统吗？</t>
        </is>
      </c>
      <c r="C16" s="60" t="inlineStr"/>
    </row>
    <row r="17" ht="35" customHeight="1">
      <c r="A17" s="59" t="inlineStr">
        <is>
          <t>W3</t>
        </is>
      </c>
      <c r="B17" s="60" t="inlineStr">
        <is>
          <t>客户电脑能装软件吗？有杀毒、域控或禁止安装的限制吗？要管理员权限吗？</t>
        </is>
      </c>
      <c r="C17" s="60" t="inlineStr"/>
    </row>
    <row r="18" ht="30" customHeight="1">
      <c r="A18" s="59" t="inlineStr">
        <is>
          <t>W4</t>
        </is>
      </c>
      <c r="B18" s="60" t="inlineStr">
        <is>
          <t>需要图形界面吗？有参考样式吗？单机用还是多台共用数据？</t>
        </is>
      </c>
      <c r="C18" s="60" t="inlineStr"/>
    </row>
    <row r="19" ht="30" customHeight="1">
      <c r="A19" s="59" t="inlineStr">
        <is>
          <t>W5</t>
        </is>
      </c>
      <c r="B19" s="60" t="inlineStr">
        <is>
          <t>数据存在哪：本地文件、本地数据库，还是连服务器？</t>
        </is>
      </c>
      <c r="C19" s="60" t="inlineStr"/>
    </row>
    <row r="20" ht="30" customHeight="1">
      <c r="A20" s="59" t="inlineStr">
        <is>
          <t>W6</t>
        </is>
      </c>
      <c r="B20" s="60" t="inlineStr">
        <is>
          <t>交付要安装包还是绿色免安装？装的时候谁配合？</t>
        </is>
      </c>
      <c r="C20" s="60" t="inlineStr"/>
    </row>
    <row r="21" ht="35" customHeight="1">
      <c r="A21" s="61" t="inlineStr">
        <is>
          <t>L1</t>
        </is>
      </c>
      <c r="B21" s="62" t="inlineStr">
        <is>
          <t>用哪个发行版、哪个版本？（Ubuntu 20/22/24、Debian 11/12、CentOS 7、Arch）</t>
        </is>
      </c>
      <c r="C21" s="62" t="inlineStr"/>
    </row>
    <row r="22" ht="30" customHeight="1">
      <c r="A22" s="61" t="inlineStr">
        <is>
          <t>L2</t>
        </is>
      </c>
      <c r="B22" s="62" t="inlineStr">
        <is>
          <t>CPU 是 x86_64 还是 ARM？</t>
        </is>
      </c>
      <c r="C22" s="62" t="inlineStr"/>
    </row>
    <row r="23" ht="30" customHeight="1">
      <c r="A23" s="61" t="inlineStr">
        <is>
          <t>L3</t>
        </is>
      </c>
      <c r="B23" s="62" t="inlineStr">
        <is>
          <t>要命令行、systemd 常驻服务，还是 Docker？</t>
        </is>
      </c>
      <c r="C23" s="62" t="inlineStr"/>
    </row>
    <row r="24" ht="30" customHeight="1">
      <c r="A24" s="61" t="inlineStr">
        <is>
          <t>L4</t>
        </is>
      </c>
      <c r="B24" s="62" t="inlineStr">
        <is>
          <t>这台机器能联网装依赖吗？内网离线的话有本地源或镜像吗？</t>
        </is>
      </c>
      <c r="C24" s="62" t="inlineStr"/>
    </row>
    <row r="25" ht="30" customHeight="1">
      <c r="A25" s="61" t="inlineStr">
        <is>
          <t>L5</t>
        </is>
      </c>
      <c r="B25" s="62" t="inlineStr">
        <is>
          <t>有 root 权限吗？有 SELinux、防火墙或堡垒机限制吗？</t>
        </is>
      </c>
      <c r="C25" s="62" t="inlineStr"/>
    </row>
    <row r="26" ht="30" customHeight="1">
      <c r="A26" s="63" t="inlineStr">
        <is>
          <t>S1</t>
        </is>
      </c>
      <c r="B26" s="64" t="inlineStr">
        <is>
          <t>是手动运行还是定时？定时的话多久一次？</t>
        </is>
      </c>
      <c r="C26" s="64" t="inlineStr"/>
    </row>
    <row r="27" ht="35" customHeight="1">
      <c r="A27" s="63" t="inlineStr">
        <is>
          <t>S2</t>
        </is>
      </c>
      <c r="B27" s="64" t="inlineStr">
        <is>
          <t>跑在谁的电脑或服务器上？电脑会关机或锁屏吗？关机时还需要继续跑吗？</t>
        </is>
      </c>
      <c r="C27" s="64" t="inlineStr"/>
    </row>
    <row r="28" ht="30" customHeight="1">
      <c r="A28" s="63" t="inlineStr">
        <is>
          <t>S3</t>
        </is>
      </c>
      <c r="B28" s="64" t="inlineStr">
        <is>
          <t>输入文件从哪来、什么格式、一次多少条？</t>
        </is>
      </c>
      <c r="C28" s="64" t="inlineStr"/>
    </row>
    <row r="29" ht="35" customHeight="1">
      <c r="A29" s="63" t="inlineStr">
        <is>
          <t>S4</t>
        </is>
      </c>
      <c r="B29" s="64" t="inlineStr">
        <is>
          <t>报错时跳过继续还是中断？要日志吗？要不要通知到邮件、微信或钉钉？</t>
        </is>
      </c>
      <c r="C29" s="64" t="inlineStr"/>
    </row>
    <row r="30" ht="30" customHeight="1">
      <c r="A30" s="63" t="inlineStr">
        <is>
          <t>S5</t>
        </is>
      </c>
      <c r="B30" s="64" t="inlineStr">
        <is>
          <t>目标机器能装 Python / Node 吗？还是必须打成单文件 exe？</t>
        </is>
      </c>
      <c r="C30" s="64" t="inlineStr"/>
    </row>
    <row r="31" ht="30" customHeight="1">
      <c r="A31" s="65" t="inlineStr">
        <is>
          <t>D1</t>
        </is>
      </c>
      <c r="B31" s="66" t="inlineStr">
        <is>
          <t>数据从哪来：公开网页、公开接口，还是你们内部系统？</t>
        </is>
      </c>
      <c r="C31" s="66" t="inlineStr"/>
    </row>
    <row r="32" ht="30" customHeight="1">
      <c r="A32" s="65" t="inlineStr">
        <is>
          <t>D2</t>
        </is>
      </c>
      <c r="B32" s="66" t="inlineStr">
        <is>
          <t>要哪几列、什么含义、什么格式？能给一张目标表格的样子吗？</t>
        </is>
      </c>
      <c r="C32" s="66" t="inlineStr"/>
    </row>
    <row r="33" ht="30" customHeight="1">
      <c r="A33" s="65" t="inlineStr">
        <is>
          <t>D3</t>
        </is>
      </c>
      <c r="B33" s="66" t="inlineStr">
        <is>
          <t>一次抓多少条、多久跑一次？能接受跑多久？</t>
        </is>
      </c>
      <c r="C33" s="66" t="inlineStr"/>
    </row>
    <row r="34" ht="30" customHeight="1">
      <c r="A34" s="65" t="inlineStr">
        <is>
          <t>D4</t>
        </is>
      </c>
      <c r="B34" s="66" t="inlineStr">
        <is>
          <t>目标站有验证码、登录、限频或封 IP 吗？能接受慢速抓取吗？</t>
        </is>
      </c>
      <c r="C34" s="66" t="inlineStr"/>
    </row>
    <row r="35" ht="35" customHeight="1">
      <c r="A35" s="65" t="inlineStr">
        <is>
          <t>D5</t>
        </is>
      </c>
      <c r="B35" s="66" t="inlineStr">
        <is>
          <t>输出成 Excel、CSV、数据库还是直接进报表？去重和清洗规则是什么？</t>
        </is>
      </c>
      <c r="C35" s="66" t="inlineStr"/>
    </row>
    <row r="36" ht="30" customHeight="1">
      <c r="A36" s="65" t="inlineStr">
        <is>
          <t>D6</t>
        </is>
      </c>
      <c r="B36" s="66" t="inlineStr">
        <is>
          <t>要登录别人的账号，或者涉及个人信息吗？</t>
        </is>
      </c>
      <c r="C36" s="66" t="inlineStr"/>
    </row>
    <row r="37" ht="30" customHeight="1">
      <c r="A37" s="67" t="inlineStr">
        <is>
          <t>E1</t>
        </is>
      </c>
      <c r="B37" s="68" t="inlineStr">
        <is>
          <t>用 Excel 2016 / 2019 / 365 还是 WPS？具体版本号？</t>
        </is>
      </c>
      <c r="C37" s="68" t="inlineStr"/>
    </row>
    <row r="38" ht="30" customHeight="1">
      <c r="A38" s="67" t="inlineStr">
        <is>
          <t>E2</t>
        </is>
      </c>
      <c r="B38" s="68" t="inlineStr">
        <is>
          <t>Office 是 32 位还是 64 位？</t>
        </is>
      </c>
      <c r="C38" s="68" t="inlineStr"/>
    </row>
    <row r="39" ht="30" customHeight="1">
      <c r="A39" s="67" t="inlineStr">
        <is>
          <t>E3</t>
        </is>
      </c>
      <c r="B39" s="68" t="inlineStr">
        <is>
          <t>公司电脑允许装加载项吗？宏安全设置是什么级别？</t>
        </is>
      </c>
      <c r="C39" s="68" t="inlineStr"/>
    </row>
    <row r="40" ht="30" customHeight="1">
      <c r="A40" s="67" t="inlineStr">
        <is>
          <t>E4</t>
        </is>
      </c>
      <c r="B40" s="68" t="inlineStr">
        <is>
          <t>要按钮、任务窗格、右键菜单，还是打开文件自动触发？</t>
        </is>
      </c>
      <c r="C40" s="68" t="inlineStr"/>
    </row>
    <row r="41" ht="30" customHeight="1">
      <c r="A41" s="67" t="inlineStr">
        <is>
          <t>E5</t>
        </is>
      </c>
      <c r="B41" s="68" t="inlineStr">
        <is>
          <t>要读哪些表？需要联网或访问本地文件吗？</t>
        </is>
      </c>
      <c r="C41" s="68" t="inlineStr"/>
    </row>
    <row r="42" ht="30" customHeight="1">
      <c r="A42" s="67" t="inlineStr">
        <is>
          <t>E6</t>
        </is>
      </c>
      <c r="B42" s="68" t="inlineStr">
        <is>
          <t>能不能先在一台目标机器上试装一个空插件，确认能加载？</t>
        </is>
      </c>
      <c r="C42" s="68" t="inlineStr"/>
    </row>
    <row r="43" ht="30" customHeight="1">
      <c r="A43" s="69" t="inlineStr">
        <is>
          <t>B1</t>
        </is>
      </c>
      <c r="B43" s="70" t="inlineStr">
        <is>
          <t>用哪个浏览器、什么版本？（Chrome / Edge / 360 / 夸克）</t>
        </is>
      </c>
      <c r="C43" s="70" t="inlineStr"/>
    </row>
    <row r="44" ht="30" customHeight="1">
      <c r="A44" s="69" t="inlineStr">
        <is>
          <t>B2</t>
        </is>
      </c>
      <c r="B44" s="70" t="inlineStr">
        <is>
          <t>要手动开发者模式安装，还是要上架商店？</t>
        </is>
      </c>
      <c r="C44" s="70" t="inlineStr"/>
    </row>
    <row r="45" ht="30" customHeight="1">
      <c r="A45" s="69" t="inlineStr">
        <is>
          <t>B3</t>
        </is>
      </c>
      <c r="B45" s="70" t="inlineStr">
        <is>
          <t>要访问哪些网站？需要读写网页数据或联网吗？</t>
        </is>
      </c>
      <c r="C45" s="70" t="inlineStr"/>
    </row>
    <row r="46" ht="30" customHeight="1">
      <c r="A46" s="69" t="inlineStr">
        <is>
          <t>B4</t>
        </is>
      </c>
      <c r="B46" s="70" t="inlineStr">
        <is>
          <t>触发方式：点图标、页面自动注入，还是快捷键？</t>
        </is>
      </c>
      <c r="C46" s="70" t="inlineStr"/>
    </row>
    <row r="47" ht="30" customHeight="1">
      <c r="A47" s="71" t="inlineStr">
        <is>
          <t>A1</t>
        </is>
      </c>
      <c r="B47" s="72" t="inlineStr">
        <is>
          <t>有接口文档、字段说明和错误码吗？先发我一份。</t>
        </is>
      </c>
      <c r="C47" s="72" t="inlineStr"/>
    </row>
    <row r="48" ht="30" customHeight="1">
      <c r="A48" s="71" t="inlineStr">
        <is>
          <t>A2</t>
        </is>
      </c>
      <c r="B48" s="72" t="inlineStr">
        <is>
          <t>有测试环境吗？地址、账号、key / token 能提供吗？</t>
        </is>
      </c>
      <c r="C48" s="72" t="inlineStr"/>
    </row>
    <row r="49" ht="30" customHeight="1">
      <c r="A49" s="71" t="inlineStr">
        <is>
          <t>A3</t>
        </is>
      </c>
      <c r="B49" s="72" t="inlineStr">
        <is>
          <t>认证方式是 Token、OAuth、签名还是 IP 白名单？</t>
        </is>
      </c>
      <c r="C49" s="72" t="inlineStr"/>
    </row>
    <row r="50" ht="30" customHeight="1">
      <c r="A50" s="71" t="inlineStr">
        <is>
          <t>A4</t>
        </is>
      </c>
      <c r="B50" s="72" t="inlineStr">
        <is>
          <t>有 QPS 上限或每日调用量限制吗？</t>
        </is>
      </c>
      <c r="C50" s="72" t="inlineStr"/>
    </row>
    <row r="51" ht="30" customHeight="1">
      <c r="A51" s="71" t="inlineStr">
        <is>
          <t>A5</t>
        </is>
      </c>
      <c r="B51" s="72" t="inlineStr">
        <is>
          <t>是单向还是双向？实时还是定时同步？</t>
        </is>
      </c>
      <c r="C51" s="72" t="inlineStr"/>
    </row>
    <row r="52" ht="30" customHeight="1">
      <c r="A52" s="71" t="inlineStr">
        <is>
          <t>A6</t>
        </is>
      </c>
      <c r="B52" s="72" t="inlineStr">
        <is>
          <t>接口出问题找谁？对方有技术支持吗？</t>
        </is>
      </c>
      <c r="C52" s="72" t="inlineStr"/>
    </row>
    <row r="53" ht="30" customHeight="1">
      <c r="A53" s="73" t="inlineStr">
        <is>
          <t>C1</t>
        </is>
      </c>
      <c r="B53" s="74" t="inlineStr">
        <is>
          <t>有源码吗？什么语言？能编译或运行起来吗？</t>
        </is>
      </c>
      <c r="C53" s="74" t="inlineStr"/>
    </row>
    <row r="54" ht="30" customHeight="1">
      <c r="A54" s="73" t="inlineStr">
        <is>
          <t>C2</t>
        </is>
      </c>
      <c r="B54" s="74" t="inlineStr">
        <is>
          <t>原开发者同意改吗？有设计文档吗？</t>
        </is>
      </c>
      <c r="C54" s="74" t="inlineStr"/>
    </row>
    <row r="55" ht="30" customHeight="1">
      <c r="A55" s="73" t="inlineStr">
        <is>
          <t>C3</t>
        </is>
      </c>
      <c r="B55" s="74" t="inlineStr">
        <is>
          <t>要加功能、改逻辑还是修 bug？哪些地方绝对不能动？</t>
        </is>
      </c>
      <c r="C55" s="74" t="inlineStr"/>
    </row>
    <row r="56" ht="30" customHeight="1">
      <c r="A56" s="73" t="inlineStr">
        <is>
          <t>C4</t>
        </is>
      </c>
      <c r="B56" s="74" t="inlineStr">
        <is>
          <t>原软件以后升级，我的改动怎么处理？</t>
        </is>
      </c>
      <c r="C56" s="74" t="inlineStr"/>
    </row>
    <row r="57" ht="30" customHeight="1">
      <c r="A57" s="73" t="inlineStr">
        <is>
          <t>C5</t>
        </is>
      </c>
      <c r="B57" s="74" t="inlineStr">
        <is>
          <t>原工程上改，还是单独出一份？</t>
        </is>
      </c>
      <c r="C57" s="74" t="inlineStr"/>
    </row>
  </sheetData>
  <mergeCells count="2">
    <mergeCell ref="A1:C1"/>
    <mergeCell ref="A2:C2"/>
  </mergeCells>
  <pageMargins left="0.75" right="0.75" top="1" bottom="1" header="0.5" footer="0.5"/>
  <pageSetup orientation="portrait" paperSize="9" fitToHeight="0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006B665E"/>
    <outlinePr summaryBelow="1" summaryRight="1"/>
    <pageSetUpPr fitToPage="1"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4" customWidth="1" min="3" max="3"/>
  </cols>
  <sheetData>
    <row r="1" ht="34" customHeight="1">
      <c r="A1" s="52" t="inlineStr">
        <is>
          <t>这一单能不能报价</t>
        </is>
      </c>
    </row>
    <row r="3">
      <c r="A3" s="54" t="inlineStr">
        <is>
          <t>统计项</t>
        </is>
      </c>
      <c r="B3" s="54" t="inlineStr">
        <is>
          <t>数量</t>
        </is>
      </c>
    </row>
    <row r="4">
      <c r="A4" s="75" t="inlineStr">
        <is>
          <t>总问题数</t>
        </is>
      </c>
      <c r="B4" s="76">
        <f>COUNTA('接单问询表'!$C$4:$C$68)</f>
        <v/>
      </c>
    </row>
    <row r="5">
      <c r="A5" s="75" t="inlineStr">
        <is>
          <t>已问</t>
        </is>
      </c>
      <c r="B5" s="76">
        <f>COUNTIF('接单问询表'!$E$4:$E$68,"是")</f>
        <v/>
      </c>
    </row>
    <row r="6">
      <c r="A6" s="75" t="inlineStr">
        <is>
          <t>待补材料</t>
        </is>
      </c>
      <c r="B6" s="76">
        <f>COUNTIF('接单问询表'!$E$4:$E$68,"待补")</f>
        <v/>
      </c>
    </row>
    <row r="7">
      <c r="A7" s="75" t="inlineStr">
        <is>
          <t>还没问</t>
        </is>
      </c>
      <c r="B7" s="76">
        <f>B4-B5-B6</f>
        <v/>
      </c>
    </row>
    <row r="8">
      <c r="A8" s="75" t="inlineStr">
        <is>
          <t>通过</t>
        </is>
      </c>
      <c r="B8" s="76">
        <f>COUNTIF('接单问询表'!$G$4:$G$68,"通过")</f>
        <v/>
      </c>
    </row>
    <row r="9">
      <c r="A9" s="75" t="inlineStr">
        <is>
          <t>有条件</t>
        </is>
      </c>
      <c r="B9" s="76">
        <f>COUNTIF('接单问询表'!$G$4:$G$68,"有条件")</f>
        <v/>
      </c>
    </row>
    <row r="10">
      <c r="A10" s="75" t="inlineStr">
        <is>
          <t>不通过</t>
        </is>
      </c>
      <c r="B10" s="76">
        <f>COUNTIF('接单问询表'!$G$4:$G$68,"不通过")</f>
        <v/>
      </c>
    </row>
    <row r="12" ht="32" customHeight="1">
      <c r="A12" s="77" t="inlineStr">
        <is>
          <t>结论</t>
        </is>
      </c>
      <c r="B12" s="78">
        <f>IF(B10&gt;0,"暂不报价：有 "&amp;B10&amp;" 项不通过",IF(B7&gt;0,"还不能报价：还有 "&amp;B7&amp;" 项没问",IF(B6&gt;0,"先补材料："&amp;B6&amp;" 项等客户提供",IF(B9&gt;0,"可以有条件报价：把条件写进报价消息","可以报价：三道闸全过"))))</f>
        <v/>
      </c>
    </row>
    <row r="15" ht="28" customHeight="1">
      <c r="A15" s="79" t="inlineStr">
        <is>
          <t>提示一</t>
        </is>
      </c>
      <c r="B15" s="80" t="inlineStr">
        <is>
          <t>红线（R 开头）命中任意一条，直接不接，不用往下问。</t>
        </is>
      </c>
    </row>
    <row r="16" ht="28" customHeight="1">
      <c r="A16" s="79" t="inlineStr">
        <is>
          <t>提示二</t>
        </is>
      </c>
      <c r="B16" s="80" t="inlineStr">
        <is>
          <t>“报价六行”（P 开头）不是问客户的，是你要发在聊天里的话，写完再来对一遍。</t>
        </is>
      </c>
    </row>
    <row r="17" ht="28" customHeight="1">
      <c r="A17" s="79" t="inlineStr">
        <is>
          <t>提示三</t>
        </is>
      </c>
      <c r="B17" s="80" t="inlineStr">
        <is>
          <t>客户回填版只含问题，判定要点留在主表里，别一起发出去。</t>
        </is>
      </c>
    </row>
  </sheetData>
  <mergeCells count="5">
    <mergeCell ref="B16:C16"/>
    <mergeCell ref="B15:C15"/>
    <mergeCell ref="A1:C1"/>
    <mergeCell ref="B17:C17"/>
    <mergeCell ref="B12:C12"/>
  </mergeCells>
  <pageMargins left="0.75" right="0.75" top="1" bottom="1" header="0.5" footer="0.5"/>
  <pageSetup orientation="landscape" paperSize="9" fitToHeight="1" fitToWidth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2026-10-27T01:45:12Z</dcterms:created>
  <dcterms:modified xmlns:dcterms="http://purl.org/dc/terms/" xmlns:xsi="http://www.w3.org/2001/XMLSchema-instance" xsi:type="dcterms:W3CDTF">2026-10-27T01:45:12Z</dcterms:modified>
</cp:coreProperties>
</file>